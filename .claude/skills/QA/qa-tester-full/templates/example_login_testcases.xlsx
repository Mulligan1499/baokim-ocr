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Đăng nhậ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<sst xmlns="http://schemas.openxmlformats.org/spreadsheetml/2006/main" count="123" uniqueCount="81">
  <si>
    <t xml:space="preserve">Module Code</t>
  </si>
  <si>
    <t xml:space="preserve">LOGIN</t>
  </si>
  <si>
    <t xml:space="preserve">Round 1</t>
  </si>
  <si>
    <t xml:space="preserve">Round 2</t>
  </si>
  <si>
    <t xml:space="preserve">Round 3</t>
  </si>
  <si>
    <t xml:space="preserve">Total of Test cases Created</t>
  </si>
  <si>
    <t xml:space="preserve">% Executed round 1</t>
  </si>
  <si>
    <t xml:space="preserve">Pass</t>
  </si>
  <si>
    <t xml:space="preserve">Fail</t>
  </si>
  <si>
    <t xml:space="preserve">Impact</t>
  </si>
  <si>
    <t xml:space="preserve">Not Run</t>
  </si>
  <si>
    <t xml:space="preserve">Total</t>
  </si>
  <si>
    <t xml:space="preserve">Total of Test cases plan to Executed</t>
  </si>
  <si>
    <t xml:space="preserve">Creator</t>
  </si>
  <si>
    <t xml:space="preserve">QA Team</t>
  </si>
  <si>
    <t xml:space="preserve">ID</t>
  </si>
  <si>
    <t xml:space="preserve">Test Item</t>
  </si>
  <si>
    <t xml:space="preserve">Pre - Condition</t>
  </si>
  <si>
    <t xml:space="preserve">Step</t>
  </si>
  <si>
    <t xml:space="preserve">Expected Output</t>
  </si>
  <si>
    <t xml:space="preserve">Priority</t>
  </si>
  <si>
    <t xml:space="preserve">Result</t>
  </si>
  <si>
    <t xml:space="preserve">Bug ID</t>
  </si>
  <si>
    <t xml:space="preserve">Tester</t>
  </si>
  <si>
    <t xml:space="preserve">Test Date</t>
  </si>
  <si>
    <t xml:space="preserve">Note</t>
  </si>
  <si>
    <t xml:space="preserve">1. Display — Render màn hình Login</t>
  </si>
  <si>
    <t xml:space="preserve">Verify login screen render đúng layout cơ bản</t>
  </si>
  <si>
    <t xml:space="preserve">User chưa login
Đang ở URL /login
Browser Chrome 120, viewport 1440x900</t>
  </si>
  <si>
    <t xml:space="preserve">1. Mở URL /login
2. Quan sát các element trên màn</t>
  </si>
  <si>
    <t xml:space="preserve">- Logo hiển thị ở header
- Tiêu đề 'Đăng nhập'
- Field Email với placeholder 'Email' và icon ✉️
- Field Password với placeholder 'Mật khẩu', icon 🔒, nút 👁️ hiện/ẩn password
- Checkbox 'Ghi nhớ đăng nhập' (mặc định untick)
- Link 'Quên mật khẩu?'
- Button 'Đăng nhập' màu xanh, disabled khi 2 field rỗng
- Text 'Chưa có tài khoản? Đăng ký' với link Đăng ký</t>
  </si>
  <si>
    <t xml:space="preserve">Medium</t>
  </si>
  <si>
    <t xml:space="preserve">Verify password visibility toggle hoạt động</t>
  </si>
  <si>
    <t xml:space="preserve">Đang ở /login, đã nhập password vào field</t>
  </si>
  <si>
    <t xml:space="preserve">1. Quan sát icon 👁️ ở field password
2. Nhập 'Pass@123' vào field
3. Click icon 👁️
4. Click lần 2</t>
  </si>
  <si>
    <t xml:space="preserve">- Mặc định password ẩn (•••••••)
- Sau click: password hiển thị raw 'Pass@123', icon đổi sang 🚫👁️
- Sau click lần 2: password ẩn lại</t>
  </si>
  <si>
    <t xml:space="preserve">2. Email field validation</t>
  </si>
  <si>
    <t xml:space="preserve">Validate email format — invalid (thiếu @)</t>
  </si>
  <si>
    <t xml:space="preserve">Đang ở /login</t>
  </si>
  <si>
    <t xml:space="preserve">1. Nhập 'qaexample.com' vào field Email
2. Click ra ngoài field (blur)</t>
  </si>
  <si>
    <t xml:space="preserve">- Inline error dưới field: 'Email không đúng định dạng'
- Field viền đỏ
- Button Login vẫn disabled</t>
  </si>
  <si>
    <t xml:space="preserve">High</t>
  </si>
  <si>
    <t xml:space="preserve">Validate email format — invalid (TLD 1 ký tự)</t>
  </si>
  <si>
    <t xml:space="preserve">1. Nhập 'qa@example.c' vào field Email
2. Blur</t>
  </si>
  <si>
    <t xml:space="preserve">Error: 'Email không đúng định dạng'</t>
  </si>
  <si>
    <t xml:space="preserve">Validate email — leading/trailing space được trim</t>
  </si>
  <si>
    <t xml:space="preserve">1. Nhập '  qa@example.com  ' (có space đầu cuối)
2. Blur</t>
  </si>
  <si>
    <t xml:space="preserve">- Field tự trim space → 'qa@example.com'
- Không có error</t>
  </si>
  <si>
    <t xml:space="preserve">Validate email length boundary — 254 ký tự (max RFC 5321)</t>
  </si>
  <si>
    <t xml:space="preserve">1. Nhập email đúng format dài 254 ký tự (vd: 'a'*64+'@'+'b'*189+'.com')
2. Blur</t>
  </si>
  <si>
    <t xml:space="preserve">Accept, không error</t>
  </si>
  <si>
    <t xml:space="preserve">Low</t>
  </si>
  <si>
    <t xml:space="preserve">Validate email length boundary — 255 ký tự (vượt max)</t>
  </si>
  <si>
    <t xml:space="preserve">1. Nhập email dài 255 ký tự
2. Blur</t>
  </si>
  <si>
    <t xml:space="preserve">Error: 'Email quá dài (tối đa 254 ký tự)'</t>
  </si>
  <si>
    <t xml:space="preserve">3. Login — Happy Path</t>
  </si>
  <si>
    <t xml:space="preserve">Verify login thành công với credentials đúng</t>
  </si>
  <si>
    <t xml:space="preserve">User 'qa.test@example.com' đã có account, status Active, role Customer
Đang ở /login</t>
  </si>
  <si>
    <t xml:space="preserve">1. Nhập email = 'qa.test@example.com'
2. Nhập password = 'Pass@1234'
3. Click button 'Đăng nhập'</t>
  </si>
  <si>
    <t xml:space="preserve">- URL chuyển sang /dashboard trong &lt; 2s
- Header hiển thị tên user 'QA Test'
- Cookie session_id được set với HttpOnly + Secure flag
- Network: POST /api/login → 200 với { token, user }
- DB login_history có record mới (user_id, login_at, ip_address)</t>
  </si>
  <si>
    <t xml:space="preserve">Verify email case-insensitive khi login</t>
  </si>
  <si>
    <t xml:space="preserve">User 'qa.test@example.com' đã có account</t>
  </si>
  <si>
    <t xml:space="preserve">1. Nhập email viết hoa 'QA.TEST@EXAMPLE.COM'
2. Nhập password đúng
3. Click Đăng nhập</t>
  </si>
  <si>
    <t xml:space="preserve">Login thành công, user vào dashboard</t>
  </si>
  <si>
    <t xml:space="preserve">Verify 'Ghi nhớ đăng nhập' giữ session 30 ngày</t>
  </si>
  <si>
    <t xml:space="preserve">User active</t>
  </si>
  <si>
    <t xml:space="preserve">1. Tick checkbox 'Ghi nhớ đăng nhập'
2. Login thành công
3. Đóng browser hoàn toàn
4. Mở lại browser sau 1 giờ
5. Truy cập /dashboard</t>
  </si>
  <si>
    <t xml:space="preserve">- Cookie session_id có expire = 30 ngày
- User vẫn login, vào thẳng /dashboard không cần đăng nhập lại</t>
  </si>
  <si>
    <t xml:space="preserve">4. Login — Negative &amp; Security</t>
  </si>
  <si>
    <t xml:space="preserve">Verify error message khi password sai</t>
  </si>
  <si>
    <t xml:space="preserve">1. Nhập email đúng
2. Nhập password sai
3. Click Đăng nhập</t>
  </si>
  <si>
    <t xml:space="preserve">- Error message generic: 'Email hoặc mật khẩu không đúng'
- KHÔNG được lộ là email tồn tại hay password sai
- URL không thay đổi, vẫn /login
- Không set cookie session</t>
  </si>
  <si>
    <t xml:space="preserve">Verify error message khi email không tồn tại</t>
  </si>
  <si>
    <t xml:space="preserve">1. Nhập email chưa đăng ký 'notexist@example.com'
2. Nhập password bất kỳ
3. Click Đăng nhập</t>
  </si>
  <si>
    <t xml:space="preserve">- Cùng error message như password sai: 'Email hoặc mật khẩu không đúng' (security best practice)
- Response time gần bằng case password sai (chống user enumeration qua timing attack)</t>
  </si>
  <si>
    <t xml:space="preserve">Verify account lock sau 5 lần login fail</t>
  </si>
  <si>
    <t xml:space="preserve">1. Login fail 5 lần liên tiếp với cùng email
2. Lần 6: thử login với password đúng</t>
  </si>
  <si>
    <t xml:space="preserve">- Sau lần fail thứ 5: account bị lock 15 phút
- Lần 6: error 'Account tạm khóa do nhiều lần đăng nhập sai. Thử lại sau 15 phút'
- Email cảnh báo gửi đến user
- DB users.locked_until được set</t>
  </si>
  <si>
    <t xml:space="preserve">Verify SQL injection trong field email không thực thi</t>
  </si>
  <si>
    <t xml:space="preserve">1. Nhập email = "' OR '1'='1"
2. Nhập password bất kỳ
3. Click Đăng nhập</t>
  </si>
  <si>
    <t xml:space="preserve">- Server response: 400 hoặc 401 với error message thường
- KHÔNG bypass authentication
- KHÔNG có log SQL error trên server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</si>
</sst>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B4C6E7"/>
        <bgColor rgb="FFB8CCE4"/>
      </patternFill>
    </fill>
    <fill>
      <patternFill patternType="solid">
        <fgColor rgb="FF5BC95E"/>
        <bgColor rgb="FF339966"/>
      </patternFill>
    </fill>
    <fill>
      <patternFill patternType="solid">
        <fgColor rgb="FFF7CAAC"/>
        <bgColor rgb="FFFBD4B4"/>
      </patternFill>
    </fill>
    <fill>
      <patternFill patternType="solid">
        <fgColor rgb="FFD8D8D8"/>
        <bgColor rgb="FFCFE2F3"/>
      </patternFill>
    </fill>
    <fill>
      <patternFill patternType="solid">
        <fgColor rgb="FFC2D69B"/>
        <bgColor rgb="FFBFBFBF"/>
      </patternFill>
    </fill>
    <fill>
      <patternFill patternType="solid">
        <fgColor rgb="FFFBD4B4"/>
        <bgColor rgb="FFF7CAAC"/>
      </patternFill>
    </fill>
    <fill>
      <patternFill patternType="solid">
        <fgColor rgb="FFB2A1C7"/>
        <bgColor rgb="FF999999"/>
      </patternFill>
    </fill>
    <fill>
      <patternFill patternType="solid">
        <fgColor rgb="FFBFBFBF"/>
        <bgColor rgb="FFB4C6E7"/>
      </patternFill>
    </fill>
    <fill>
      <patternFill patternType="solid">
        <fgColor rgb="FFB8CCE4"/>
        <bgColor rgb="FFB4C6E7"/>
      </patternFill>
    </fill>
    <fill>
      <patternFill patternType="solid">
        <fgColor rgb="FFFFCC66"/>
        <bgColor rgb="FFF7CAAC"/>
      </patternFill>
    </fill>
    <fill>
      <patternFill patternType="solid">
        <fgColor rgb="FFCFE2F3"/>
        <bgColor rgb="FFD8D8D8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FBD4B4"/>
      </patternFill>
    </fill>
    <fill>
      <patternFill patternType="solid">
        <fgColor rgb="FFD9EAD3"/>
        <bgColor rgb="FFCF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A1C7"/>
      <rgbColor rgb="FF993366"/>
      <rgbColor rgb="FFFFF2CC"/>
      <rgbColor rgb="FFCFE2F3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D8D8"/>
      <rgbColor rgb="FFD9EAD3"/>
      <rgbColor rgb="FFFBD4B4"/>
      <rgbColor rgb="FFB4C6E7"/>
      <rgbColor rgb="FFF4CCCC"/>
      <rgbColor rgb="FFCC99FF"/>
      <rgbColor rgb="FFF7CAAC"/>
      <rgbColor rgb="FF3366FF"/>
      <rgbColor rgb="FF5BC95E"/>
      <rgbColor rgb="FFC2D69B"/>
      <rgbColor rgb="FFFFCC66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25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25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25"/>
  </cols>
  <sheetData>
    <row r="1" customFormat="false" ht="19.5" hidden="false" customHeight="true" outlineLevel="0" collapsed="false"/>
    <row r="2" customFormat="false" ht="21.75" hidden="false" customHeight="true" outlineLevel="0" collapsed="false">
      <c r="A2" s="1" t="s">
        <v>0</v>
      </c>
      <c r="B2" s="2" t="s">
        <v>1</v>
      </c>
      <c r="G2" s="3" t="s">
        <v>2</v>
      </c>
      <c r="H2" s="3"/>
      <c r="I2" s="3"/>
      <c r="J2" s="3"/>
      <c r="K2" s="3"/>
      <c r="L2" s="4" t="s">
        <v>3</v>
      </c>
      <c r="M2" s="4"/>
      <c r="N2" s="4"/>
      <c r="O2" s="4"/>
      <c r="P2" s="4"/>
      <c r="Q2" s="5" t="s">
        <v>4</v>
      </c>
      <c r="R2" s="5"/>
      <c r="S2" s="5"/>
      <c r="T2" s="5"/>
      <c r="U2" s="5"/>
    </row>
    <row r="3" customFormat="false" ht="21" hidden="false" customHeight="true" outlineLevel="0" collapsed="false">
      <c r="A3" s="6" t="s">
        <v>5</v>
      </c>
      <c r="B3" s="2" t="n">
        <f aca="false">COUNTIF(E8:E1865,"&lt;&gt;")</f>
        <v>14</v>
      </c>
      <c r="C3" s="1" t="s">
        <v>6</v>
      </c>
      <c r="D3" s="7" t="n">
        <f aca="false">IFERROR(B3/B4,0)</f>
        <v>0</v>
      </c>
      <c r="G3" s="8" t="s">
        <v>7</v>
      </c>
      <c r="H3" s="9" t="s">
        <v>8</v>
      </c>
      <c r="I3" s="10" t="s">
        <v>9</v>
      </c>
      <c r="J3" s="11" t="s">
        <v>10</v>
      </c>
      <c r="K3" s="12" t="s">
        <v>11</v>
      </c>
      <c r="L3" s="8" t="s">
        <v>7</v>
      </c>
      <c r="M3" s="9" t="s">
        <v>8</v>
      </c>
      <c r="N3" s="10" t="s">
        <v>9</v>
      </c>
      <c r="O3" s="11" t="s">
        <v>10</v>
      </c>
      <c r="P3" s="12" t="s">
        <v>11</v>
      </c>
      <c r="Q3" s="8" t="s">
        <v>7</v>
      </c>
      <c r="R3" s="9" t="s">
        <v>8</v>
      </c>
      <c r="S3" s="10" t="s">
        <v>9</v>
      </c>
      <c r="T3" s="11" t="s">
        <v>10</v>
      </c>
      <c r="U3" s="12" t="s">
        <v>11</v>
      </c>
    </row>
    <row r="4" customFormat="false" ht="33.75" hidden="false" customHeight="true" outlineLevel="0" collapsed="false">
      <c r="A4" s="6" t="s">
        <v>12</v>
      </c>
      <c r="B4" s="2" t="n">
        <f aca="false">K4+P4</f>
        <v>0</v>
      </c>
      <c r="C4" s="1" t="s">
        <v>13</v>
      </c>
      <c r="D4" s="2" t="s">
        <v>14</v>
      </c>
      <c r="G4" s="13" t="n">
        <f aca="false">COUNTIFS($G$6:$G$1406,"Pass")</f>
        <v>0</v>
      </c>
      <c r="H4" s="13" t="n">
        <f aca="false">COUNTIFS($G$6:$G$1406,"Fail")</f>
        <v>0</v>
      </c>
      <c r="I4" s="13" t="n">
        <f aca="false">COUNTIFS($G$6:$G$1406,"Impact")</f>
        <v>0</v>
      </c>
      <c r="J4" s="13" t="n">
        <f aca="false">COUNTIFS($G$6:$G$1406,"Not Run")</f>
        <v>0</v>
      </c>
      <c r="K4" s="13" t="n">
        <f aca="false">SUM(G4:J4)</f>
        <v>0</v>
      </c>
      <c r="L4" s="13" t="n">
        <f aca="false">COUNTIFS($L$6:$L$1406,"Pass")</f>
        <v>0</v>
      </c>
      <c r="M4" s="13" t="n">
        <f aca="false">COUNTIFS($L$6:$L$1406,"Fail")</f>
        <v>0</v>
      </c>
      <c r="N4" s="13" t="n">
        <f aca="false">COUNTIFS($L$6:$L$1406,"Impact")</f>
        <v>0</v>
      </c>
      <c r="O4" s="13" t="n">
        <f aca="false">COUNTIFS($L$6:$L$1406,"Not Run")</f>
        <v>0</v>
      </c>
      <c r="P4" s="13" t="n">
        <f aca="false">SUM(L4:O4)</f>
        <v>0</v>
      </c>
      <c r="Q4" s="13" t="n">
        <f aca="false">COUNTIFS($Q$6:$Q$1406,"Pass")</f>
        <v>0</v>
      </c>
      <c r="R4" s="13" t="n">
        <f aca="false">COUNTIFS($Q$6:$Q$1406,"Fail")</f>
        <v>0</v>
      </c>
      <c r="S4" s="13" t="n">
        <f aca="false">COUNTIFS($Q$6:$Q$1406,"Impact")</f>
        <v>0</v>
      </c>
      <c r="T4" s="13" t="n">
        <f aca="false">COUNTIFS($Q$6:$Q$1406,"Not Run")</f>
        <v>0</v>
      </c>
      <c r="U4" s="13" t="n">
        <f aca="false">SUM(Q4:T4)</f>
        <v>0</v>
      </c>
    </row>
    <row r="5" customFormat="false" ht="15.75" hidden="false" customHeight="true" outlineLevel="0" collapsed="false"/>
    <row r="6" customFormat="false" ht="21.75" hidden="false" customHeight="true" outlineLevel="0" collapsed="false">
      <c r="A6" s="14" t="s">
        <v>15</v>
      </c>
      <c r="B6" s="14" t="s">
        <v>16</v>
      </c>
      <c r="C6" s="14" t="s">
        <v>17</v>
      </c>
      <c r="D6" s="14" t="s">
        <v>18</v>
      </c>
      <c r="E6" s="14" t="s">
        <v>19</v>
      </c>
      <c r="F6" s="14" t="s">
        <v>20</v>
      </c>
      <c r="G6" s="15" t="s">
        <v>2</v>
      </c>
      <c r="H6" s="15"/>
      <c r="I6" s="15"/>
      <c r="J6" s="15"/>
      <c r="K6" s="15"/>
      <c r="L6" s="16" t="s">
        <v>3</v>
      </c>
      <c r="M6" s="16"/>
      <c r="N6" s="16"/>
      <c r="O6" s="16"/>
      <c r="P6" s="16"/>
      <c r="Q6" s="17" t="s">
        <v>4</v>
      </c>
      <c r="R6" s="17"/>
      <c r="S6" s="17"/>
      <c r="T6" s="17"/>
      <c r="U6" s="17"/>
    </row>
    <row r="7" customFormat="false" ht="21.75" hidden="false" customHeight="true" outlineLevel="0" collapsed="false">
      <c r="A7" s="14"/>
      <c r="B7" s="14"/>
      <c r="C7" s="14"/>
      <c r="D7" s="14"/>
      <c r="E7" s="14"/>
      <c r="F7" s="14"/>
      <c r="G7" s="18" t="s">
        <v>21</v>
      </c>
      <c r="H7" s="18" t="s">
        <v>22</v>
      </c>
      <c r="I7" s="18" t="s">
        <v>23</v>
      </c>
      <c r="J7" s="18" t="s">
        <v>24</v>
      </c>
      <c r="K7" s="18" t="s">
        <v>25</v>
      </c>
      <c r="L7" s="19" t="s">
        <v>21</v>
      </c>
      <c r="M7" s="19" t="s">
        <v>22</v>
      </c>
      <c r="N7" s="19" t="s">
        <v>23</v>
      </c>
      <c r="O7" s="19" t="s">
        <v>24</v>
      </c>
      <c r="P7" s="19" t="s">
        <v>25</v>
      </c>
      <c r="Q7" s="20" t="s">
        <v>21</v>
      </c>
      <c r="R7" s="20" t="s">
        <v>22</v>
      </c>
      <c r="S7" s="20" t="s">
        <v>23</v>
      </c>
      <c r="T7" s="20" t="s">
        <v>24</v>
      </c>
      <c r="U7" s="20" t="s">
        <v>25</v>
      </c>
    </row>
    <row r="8" customFormat="false" ht="21.75" hidden="false" customHeight="true" outlineLevel="0" collapsed="false">
      <c r="A8" s="21" t="s">
        <v>26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customFormat="false" ht="199.5" hidden="false" customHeight="true" outlineLevel="0" collapsed="false">
      <c r="A9" s="22" t="str">
        <f aca="false">IF(OR(D9&lt;&gt;"",E9&lt;&gt;""),"["&amp;$B$2&amp;"-"&amp;TEXT(ROW()-7-COUNTBLANK($E$8:E9),"##")&amp;"]","")</f>
        <v>[LOGIN-1]</v>
      </c>
      <c r="B9" s="23" t="s">
        <v>27</v>
      </c>
      <c r="C9" s="23" t="s">
        <v>28</v>
      </c>
      <c r="D9" s="23" t="s">
        <v>29</v>
      </c>
      <c r="E9" s="23" t="s">
        <v>30</v>
      </c>
      <c r="F9" s="24" t="s">
        <v>31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customFormat="false" ht="63.75" hidden="false" customHeight="true" outlineLevel="0" collapsed="false">
      <c r="A10" s="22" t="str">
        <f aca="false">IF(OR(D10&lt;&gt;"",E10&lt;&gt;""),"["&amp;$B$2&amp;"-"&amp;TEXT(ROW()-7-COUNTBLANK($E$8:E10),"##")&amp;"]","")</f>
        <v>[LOGIN-2]</v>
      </c>
      <c r="B10" s="23" t="s">
        <v>32</v>
      </c>
      <c r="C10" s="23" t="s">
        <v>33</v>
      </c>
      <c r="D10" s="23" t="s">
        <v>34</v>
      </c>
      <c r="E10" s="23" t="s">
        <v>35</v>
      </c>
      <c r="F10" s="24" t="s">
        <v>31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customFormat="false" ht="21.75" hidden="false" customHeight="true" outlineLevel="0" collapsed="false">
      <c r="A11" s="21" t="s">
        <v>36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customFormat="false" ht="48" hidden="false" customHeight="true" outlineLevel="0" collapsed="false">
      <c r="A12" s="22" t="str">
        <f aca="false">IF(OR(D12&lt;&gt;"",E12&lt;&gt;""),"["&amp;$B$2&amp;"-"&amp;TEXT(ROW()-7-COUNTBLANK($E$8:E12),"##")&amp;"]","")</f>
        <v>[LOGIN-3]</v>
      </c>
      <c r="B12" s="23" t="s">
        <v>37</v>
      </c>
      <c r="C12" s="23" t="s">
        <v>38</v>
      </c>
      <c r="D12" s="23" t="s">
        <v>39</v>
      </c>
      <c r="E12" s="23" t="s">
        <v>40</v>
      </c>
      <c r="F12" s="25" t="s">
        <v>41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customFormat="false" ht="31.5" hidden="false" customHeight="true" outlineLevel="0" collapsed="false">
      <c r="A13" s="22" t="str">
        <f aca="false">IF(OR(D13&lt;&gt;"",E13&lt;&gt;""),"["&amp;$B$2&amp;"-"&amp;TEXT(ROW()-7-COUNTBLANK($E$8:E13),"##")&amp;"]","")</f>
        <v>[LOGIN-4]</v>
      </c>
      <c r="B13" s="23" t="s">
        <v>42</v>
      </c>
      <c r="C13" s="23" t="s">
        <v>38</v>
      </c>
      <c r="D13" s="23" t="s">
        <v>43</v>
      </c>
      <c r="E13" s="23" t="s">
        <v>44</v>
      </c>
      <c r="F13" s="24" t="s">
        <v>31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customFormat="false" ht="31.5" hidden="false" customHeight="true" outlineLevel="0" collapsed="false">
      <c r="A14" s="22" t="str">
        <f aca="false">IF(OR(D14&lt;&gt;"",E14&lt;&gt;""),"["&amp;$B$2&amp;"-"&amp;TEXT(ROW()-7-COUNTBLANK($E$8:E14),"##")&amp;"]","")</f>
        <v>[LOGIN-5]</v>
      </c>
      <c r="B14" s="23" t="s">
        <v>45</v>
      </c>
      <c r="C14" s="23" t="s">
        <v>38</v>
      </c>
      <c r="D14" s="23" t="s">
        <v>46</v>
      </c>
      <c r="E14" s="23" t="s">
        <v>47</v>
      </c>
      <c r="F14" s="24" t="s">
        <v>31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customFormat="false" ht="31.5" hidden="false" customHeight="true" outlineLevel="0" collapsed="false">
      <c r="A15" s="22" t="str">
        <f aca="false">IF(OR(D15&lt;&gt;"",E15&lt;&gt;""),"["&amp;$B$2&amp;"-"&amp;TEXT(ROW()-7-COUNTBLANK($E$8:E15),"##")&amp;"]","")</f>
        <v>[LOGIN-6]</v>
      </c>
      <c r="B15" s="23" t="s">
        <v>48</v>
      </c>
      <c r="C15" s="23" t="s">
        <v>38</v>
      </c>
      <c r="D15" s="23" t="s">
        <v>49</v>
      </c>
      <c r="E15" s="23" t="s">
        <v>50</v>
      </c>
      <c r="F15" s="26" t="s">
        <v>51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customFormat="false" ht="31.5" hidden="false" customHeight="true" outlineLevel="0" collapsed="false">
      <c r="A16" s="22" t="str">
        <f aca="false">IF(OR(D16&lt;&gt;"",E16&lt;&gt;""),"["&amp;$B$2&amp;"-"&amp;TEXT(ROW()-7-COUNTBLANK($E$8:E16),"##")&amp;"]","")</f>
        <v>[LOGIN-7]</v>
      </c>
      <c r="B16" s="23" t="s">
        <v>52</v>
      </c>
      <c r="C16" s="23" t="s">
        <v>38</v>
      </c>
      <c r="D16" s="23" t="s">
        <v>53</v>
      </c>
      <c r="E16" s="23" t="s">
        <v>54</v>
      </c>
      <c r="F16" s="26" t="s">
        <v>51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customFormat="false" ht="21.75" hidden="false" customHeight="true" outlineLevel="0" collapsed="false">
      <c r="A17" s="21" t="s">
        <v>55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customFormat="false" ht="144" hidden="false" customHeight="true" outlineLevel="0" collapsed="false">
      <c r="A18" s="22" t="str">
        <f aca="false">IF(OR(D18&lt;&gt;"",E18&lt;&gt;""),"["&amp;$B$2&amp;"-"&amp;TEXT(ROW()-7-COUNTBLANK($E$8:E18),"##")&amp;"]","")</f>
        <v>[LOGIN-8]</v>
      </c>
      <c r="B18" s="23" t="s">
        <v>56</v>
      </c>
      <c r="C18" s="23" t="s">
        <v>57</v>
      </c>
      <c r="D18" s="23" t="s">
        <v>58</v>
      </c>
      <c r="E18" s="23" t="s">
        <v>59</v>
      </c>
      <c r="F18" s="25" t="s">
        <v>41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customFormat="false" ht="48" hidden="false" customHeight="true" outlineLevel="0" collapsed="false">
      <c r="A19" s="22" t="str">
        <f aca="false">IF(OR(D19&lt;&gt;"",E19&lt;&gt;""),"["&amp;$B$2&amp;"-"&amp;TEXT(ROW()-7-COUNTBLANK($E$8:E19),"##")&amp;"]","")</f>
        <v>[LOGIN-9]</v>
      </c>
      <c r="B19" s="23" t="s">
        <v>60</v>
      </c>
      <c r="C19" s="23" t="s">
        <v>61</v>
      </c>
      <c r="D19" s="23" t="s">
        <v>62</v>
      </c>
      <c r="E19" s="23" t="s">
        <v>63</v>
      </c>
      <c r="F19" s="24" t="s">
        <v>31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customFormat="false" ht="96" hidden="false" customHeight="true" outlineLevel="0" collapsed="false">
      <c r="A20" s="22" t="str">
        <f aca="false">IF(OR(D20&lt;&gt;"",E20&lt;&gt;""),"["&amp;$B$2&amp;"-"&amp;TEXT(ROW()-7-COUNTBLANK($E$8:E20),"##")&amp;"]","")</f>
        <v>[LOGIN-10]</v>
      </c>
      <c r="B20" s="23" t="s">
        <v>64</v>
      </c>
      <c r="C20" s="23" t="s">
        <v>65</v>
      </c>
      <c r="D20" s="23" t="s">
        <v>66</v>
      </c>
      <c r="E20" s="23" t="s">
        <v>67</v>
      </c>
      <c r="F20" s="24" t="s">
        <v>31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customFormat="false" ht="21.75" hidden="false" customHeight="true" outlineLevel="0" collapsed="false">
      <c r="A21" s="21" t="s">
        <v>68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customFormat="false" ht="96" hidden="false" customHeight="true" outlineLevel="0" collapsed="false">
      <c r="A22" s="22" t="str">
        <f aca="false">IF(OR(D22&lt;&gt;"",E22&lt;&gt;""),"["&amp;$B$2&amp;"-"&amp;TEXT(ROW()-7-COUNTBLANK($E$8:E22),"##")&amp;"]","")</f>
        <v>[LOGIN-11]</v>
      </c>
      <c r="B22" s="23" t="s">
        <v>69</v>
      </c>
      <c r="C22" s="23" t="s">
        <v>65</v>
      </c>
      <c r="D22" s="23" t="s">
        <v>70</v>
      </c>
      <c r="E22" s="23" t="s">
        <v>71</v>
      </c>
      <c r="F22" s="25" t="s">
        <v>41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customFormat="false" ht="63.75" hidden="false" customHeight="true" outlineLevel="0" collapsed="false">
      <c r="A23" s="22" t="str">
        <f aca="false">IF(OR(D23&lt;&gt;"",E23&lt;&gt;""),"["&amp;$B$2&amp;"-"&amp;TEXT(ROW()-7-COUNTBLANK($E$8:E23),"##")&amp;"]","")</f>
        <v>[LOGIN-12]</v>
      </c>
      <c r="B23" s="23" t="s">
        <v>72</v>
      </c>
      <c r="C23" s="23" t="s">
        <v>38</v>
      </c>
      <c r="D23" s="23" t="s">
        <v>73</v>
      </c>
      <c r="E23" s="23" t="s">
        <v>74</v>
      </c>
      <c r="F23" s="25" t="s">
        <v>41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customFormat="false" ht="96" hidden="false" customHeight="true" outlineLevel="0" collapsed="false">
      <c r="A24" s="22" t="str">
        <f aca="false">IF(OR(D24&lt;&gt;"",E24&lt;&gt;""),"["&amp;$B$2&amp;"-"&amp;TEXT(ROW()-7-COUNTBLANK($E$8:E24),"##")&amp;"]","")</f>
        <v>[LOGIN-13]</v>
      </c>
      <c r="B24" s="23" t="s">
        <v>75</v>
      </c>
      <c r="C24" s="23" t="s">
        <v>65</v>
      </c>
      <c r="D24" s="23" t="s">
        <v>76</v>
      </c>
      <c r="E24" s="23" t="s">
        <v>77</v>
      </c>
      <c r="F24" s="25" t="s">
        <v>41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customFormat="false" ht="63.75" hidden="false" customHeight="true" outlineLevel="0" collapsed="false">
      <c r="A25" s="22" t="str">
        <f aca="false">IF(OR(D25&lt;&gt;"",E25&lt;&gt;""),"["&amp;$B$2&amp;"-"&amp;TEXT(ROW()-7-COUNTBLANK($E$8:E25),"##")&amp;"]","")</f>
        <v>[LOGIN-14]</v>
      </c>
      <c r="B25" s="23" t="s">
        <v>78</v>
      </c>
      <c r="C25" s="23" t="s">
        <v>38</v>
      </c>
      <c r="D25" s="23" t="s">
        <v>79</v>
      </c>
      <c r="E25" s="23" t="s">
        <v>80</v>
      </c>
      <c r="F25" s="25" t="s">
        <v>41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</sheetData>
  <mergeCells count="12">
    <mergeCell ref="G2:K2"/>
    <mergeCell ref="L2:P2"/>
    <mergeCell ref="Q2:U2"/>
    <mergeCell ref="A6:A7"/>
    <mergeCell ref="B6:B7"/>
    <mergeCell ref="C6:C7"/>
    <mergeCell ref="D6:D7"/>
    <mergeCell ref="E6:E7"/>
    <mergeCell ref="F6:F7"/>
    <mergeCell ref="G6:K6"/>
    <mergeCell ref="L6:P6"/>
    <mergeCell ref="Q6:U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2026-05-09T16:06:25Z</dcterms:created>
  <dc:creator>openpyxl</dc:creator>
  <dc:description/>
  <dc:language>en-US</dc:language>
  <cp:lastModifiedBy/>
  <dcterms:modified xsi:type="dcterms:W3CDTF">2026-05-09T16:06:25Z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