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Đăng ký tài khoả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<sst xmlns="http://schemas.openxmlformats.org/spreadsheetml/2006/main" count="203" uniqueCount="137">
  <si>
    <t xml:space="preserve">Module Code</t>
  </si>
  <si>
    <t xml:space="preserve">USR_REG</t>
  </si>
  <si>
    <t xml:space="preserve">Round 1</t>
  </si>
  <si>
    <t xml:space="preserve">Round 2</t>
  </si>
  <si>
    <t xml:space="preserve">Round 3</t>
  </si>
  <si>
    <t xml:space="preserve">Total of Test cases Created</t>
  </si>
  <si>
    <t xml:space="preserve">% Executed round 1</t>
  </si>
  <si>
    <t xml:space="preserve">Pass</t>
  </si>
  <si>
    <t xml:space="preserve">Fail</t>
  </si>
  <si>
    <t xml:space="preserve">Impact</t>
  </si>
  <si>
    <t xml:space="preserve">Not Run</t>
  </si>
  <si>
    <t xml:space="preserve">Total</t>
  </si>
  <si>
    <t xml:space="preserve">Total of Test cases plan to Executed</t>
  </si>
  <si>
    <t xml:space="preserve">Creator</t>
  </si>
  <si>
    <t xml:space="preserve">QA Team</t>
  </si>
  <si>
    <t xml:space="preserve">ID</t>
  </si>
  <si>
    <t xml:space="preserve">Test Item</t>
  </si>
  <si>
    <t xml:space="preserve">Pre - Condition</t>
  </si>
  <si>
    <t xml:space="preserve">Step</t>
  </si>
  <si>
    <t xml:space="preserve">Expected Output</t>
  </si>
  <si>
    <t xml:space="preserve">Priority</t>
  </si>
  <si>
    <t xml:space="preserve">Result</t>
  </si>
  <si>
    <t xml:space="preserve">Bug ID</t>
  </si>
  <si>
    <t xml:space="preserve">Tester</t>
  </si>
  <si>
    <t xml:space="preserve">Test Date</t>
  </si>
  <si>
    <t xml:space="preserve">Note</t>
  </si>
  <si>
    <t xml:space="preserve">1. Display form đăng ký</t>
  </si>
  <si>
    <t xml:space="preserve">Verify form đăng ký render đầy đủ các field</t>
  </si>
  <si>
    <t xml:space="preserve">User chưa login, đang ở /register</t>
  </si>
  <si>
    <t xml:space="preserve">1. Mở URL /register
2. Quan sát các element trên màn hình</t>
  </si>
  <si>
    <t xml:space="preserve">- Field Email với placeholder 'Email'
- Field Password với icon hiện/ẩn
- Field Confirm password với icon hiện/ẩn
- Field Tên với placeholder 'Họ và tên'
- Field SĐT với placeholder 'Số điện thoại (không bắt buộc)'
- Checkbox 'Đồng ý với điều khoản' với link
- Button 'Đăng ký' disabled khi form invalid
- Link 'Đã có tài khoản? Đăng nhập'</t>
  </si>
  <si>
    <t xml:space="preserve">Medium</t>
  </si>
  <si>
    <t xml:space="preserve">2. Validation field Email (AC2)</t>
  </si>
  <si>
    <t xml:space="preserve">Validate Email rỗng → required error</t>
  </si>
  <si>
    <t xml:space="preserve">Đang ở /register</t>
  </si>
  <si>
    <t xml:space="preserve">1. Để trống field Email
2. Click ra ngoài (blur)</t>
  </si>
  <si>
    <t xml:space="preserve">Inline error: 'Email là bắt buộc'
Field viền đỏ</t>
  </si>
  <si>
    <t xml:space="preserve">High</t>
  </si>
  <si>
    <t xml:space="preserve">Validate Email format invalid (thiếu @)</t>
  </si>
  <si>
    <t xml:space="preserve">1. Nhập 'invalidemail' vào Email
2. Blur</t>
  </si>
  <si>
    <t xml:space="preserve">Error: 'Email không đúng định dạng'</t>
  </si>
  <si>
    <t xml:space="preserve">Validate Email đã tồn tại trong hệ thống</t>
  </si>
  <si>
    <t xml:space="preserve">Account 'existing@example.com' đã tồn tại</t>
  </si>
  <si>
    <t xml:space="preserve">1. Nhập 'existing@example.com'
2. Blur (hoặc click Submit)</t>
  </si>
  <si>
    <t xml:space="preserve">Error: 'Email này đã được đăng ký. Vui lòng đăng nhập'
Kèm link đến /login</t>
  </si>
  <si>
    <t xml:space="preserve">Validate Email length boundary 254 ký tự</t>
  </si>
  <si>
    <t xml:space="preserve">1. Nhập email đúng format dài 254 ký tự
2. Blur</t>
  </si>
  <si>
    <t xml:space="preserve">Accept (RFC 5321 cho phép max 254)</t>
  </si>
  <si>
    <t xml:space="preserve">Low</t>
  </si>
  <si>
    <t xml:space="preserve">Validate Email có space đầu/cuối → auto trim</t>
  </si>
  <si>
    <t xml:space="preserve">1. Nhập '  test@example.com  ' (có space)
2. Blur</t>
  </si>
  <si>
    <t xml:space="preserve">Field tự trim space, hiển thị 'test@example.com'
Không error</t>
  </si>
  <si>
    <t xml:space="preserve">3. Validation field Password (AC3)</t>
  </si>
  <si>
    <t xml:space="preserve">Validate Password rỗng → required</t>
  </si>
  <si>
    <t xml:space="preserve">1. Để trống Password
2. Blur</t>
  </si>
  <si>
    <t xml:space="preserve">Error: 'Mật khẩu là bắt buộc'</t>
  </si>
  <si>
    <t xml:space="preserve">Validate Password length 7 ký tự (dưới min) — BVA</t>
  </si>
  <si>
    <t xml:space="preserve">1. Nhập 'Pass@12' (7 ký tự, có đủ rule khác)
2. Blur</t>
  </si>
  <si>
    <t xml:space="preserve">Error: 'Mật khẩu phải có ít nhất 8 ký tự'</t>
  </si>
  <si>
    <t xml:space="preserve">Validate Password length 8 ký tự (min) — BVA</t>
  </si>
  <si>
    <t xml:space="preserve">1. Nhập 'Pass@123' (đúng 8 ký tự, có đủ rule)
2. Blur</t>
  </si>
  <si>
    <t xml:space="preserve">Accept, không error</t>
  </si>
  <si>
    <t xml:space="preserve">Validate Password length 32 ký tự (max) — BVA</t>
  </si>
  <si>
    <t xml:space="preserve">1. Nhập password 32 ký tự đúng rule
2. Blur</t>
  </si>
  <si>
    <t xml:space="preserve">Accept</t>
  </si>
  <si>
    <t xml:space="preserve">Validate Password length 33 ký tự (vượt max) — BVA</t>
  </si>
  <si>
    <t xml:space="preserve">1. Nhập password 33 ký tự
2. Blur</t>
  </si>
  <si>
    <t xml:space="preserve">Error: 'Mật khẩu tối đa 32 ký tự'</t>
  </si>
  <si>
    <t xml:space="preserve">Validate Password thiếu chữ hoa</t>
  </si>
  <si>
    <t xml:space="preserve">1. Nhập 'pass@1234'
2. Blur</t>
  </si>
  <si>
    <t xml:space="preserve">Error: 'Mật khẩu phải có ít nhất 1 chữ hoa'</t>
  </si>
  <si>
    <t xml:space="preserve">Validate Password thiếu số</t>
  </si>
  <si>
    <t xml:space="preserve">1. Nhập 'Password@'
2. Blur</t>
  </si>
  <si>
    <t xml:space="preserve">Error: 'Mật khẩu phải có ít nhất 1 chữ số'</t>
  </si>
  <si>
    <t xml:space="preserve">Validate Password thiếu ký tự đặc biệt</t>
  </si>
  <si>
    <t xml:space="preserve">1. Nhập 'Password123'
2. Blur</t>
  </si>
  <si>
    <t xml:space="preserve">Error: 'Mật khẩu phải có ít nhất 1 ký tự đặc biệt'</t>
  </si>
  <si>
    <t xml:space="preserve">4. Validation Confirm Password (AC4)</t>
  </si>
  <si>
    <t xml:space="preserve">Validate Confirm password khớp Password</t>
  </si>
  <si>
    <t xml:space="preserve">1. Password = 'Pass@1234'
2. Confirm = 'Pass@1234'
3. Blur</t>
  </si>
  <si>
    <t xml:space="preserve">Không error</t>
  </si>
  <si>
    <t xml:space="preserve">Validate Confirm password không khớp</t>
  </si>
  <si>
    <t xml:space="preserve">1. Password = 'Pass@1234'
2. Confirm = 'Pass@5678'
3. Blur</t>
  </si>
  <si>
    <t xml:space="preserve">Error dưới Confirm: 'Mật khẩu không khớp'</t>
  </si>
  <si>
    <t xml:space="preserve">5. Validation Tên (AC5)</t>
  </si>
  <si>
    <t xml:space="preserve">Validate Tên 1 ký tự (dưới min) — BVA</t>
  </si>
  <si>
    <t xml:space="preserve">1. Nhập 'A' vào Tên
2. Blur</t>
  </si>
  <si>
    <t xml:space="preserve">Error: 'Họ tên phải có ít nhất 2 ký tự'</t>
  </si>
  <si>
    <t xml:space="preserve">Validate Tên có chứa số</t>
  </si>
  <si>
    <t xml:space="preserve">1. Nhập 'Nguyễn Văn 123'
2. Blur</t>
  </si>
  <si>
    <t xml:space="preserve">Error: 'Họ tên không được chứa số'</t>
  </si>
  <si>
    <t xml:space="preserve">Validate Tên Unicode/dấu tiếng Việt</t>
  </si>
  <si>
    <t xml:space="preserve">1. Nhập 'Nguyễn Văn Sơn'
2. Blur</t>
  </si>
  <si>
    <t xml:space="preserve">Accept, lưu và hiển thị đúng dấu</t>
  </si>
  <si>
    <t xml:space="preserve">6. Submit — Happy path (AC6)</t>
  </si>
  <si>
    <t xml:space="preserve">Verify đăng ký thành công với data hợp lệ</t>
  </si>
  <si>
    <t xml:space="preserve">Email 'newuser@example.com' chưa tồn tại trong DB</t>
  </si>
  <si>
    <t xml:space="preserve">1. Email = 'newuser@example.com'
2. Password = 'Pass@1234'
3. Confirm password = 'Pass@1234'
4. Tên = 'Test User'
5. Tick checkbox điều khoản
6. Click 'Đăng ký'</t>
  </si>
  <si>
    <t xml:space="preserve">- POST /api/register → 201 với { user_id, email }
- Email verify gửi đến 'newuser@example.com' trong &lt; 5 phút
- Redirect to /verify-email với message 'Vui lòng kiểm tra email...'
- DB users table có record mới: status='pending_verify', email_verified_at=NULL
- DB email_verifications có token với expires_at = NOW() + 24h</t>
  </si>
  <si>
    <t xml:space="preserve">7. Submit — Negative &amp; Edge cases</t>
  </si>
  <si>
    <t xml:space="preserve">Submit khi chưa tick checkbox điều khoản</t>
  </si>
  <si>
    <t xml:space="preserve">Form đầy đủ data hợp lệ trừ checkbox điều khoản</t>
  </si>
  <si>
    <t xml:space="preserve">1. Fill form đúng
2. KHÔNG tick checkbox
3. Click Đăng ký</t>
  </si>
  <si>
    <t xml:space="preserve">- Button Đăng ký disabled hoặc click không có effect
- Error: 'Bạn cần đồng ý với điều khoản'</t>
  </si>
  <si>
    <t xml:space="preserve">Submit khi network ngắt giữa chừng</t>
  </si>
  <si>
    <t xml:space="preserve">Form đầy đủ, ngắt mạng trước khi submit</t>
  </si>
  <si>
    <t xml:space="preserve">1. Fill form
2. Tắt wifi
3. Click Đăng ký</t>
  </si>
  <si>
    <t xml:space="preserve">- Error toast: 'Lỗi kết nối, vui lòng thử lại'
- Form không bị reset (data vẫn còn)
- Không có request tới server</t>
  </si>
  <si>
    <t xml:space="preserve">Concurrent registration cùng email</t>
  </si>
  <si>
    <t xml:space="preserve">Email 'concurrent@example.com' chưa tồn tại</t>
  </si>
  <si>
    <t xml:space="preserve">1. 2 browser tab khác nhau cùng đăng ký với 'concurrent@example.com'
2. Cùng click Đăng ký gần đồng thời</t>
  </si>
  <si>
    <t xml:space="preserve">- 1 request thành công 201
- Request còn lại nhận 409 Conflict: 'Email đã được đăng ký'
- DB chỉ có 1 record duy nhất</t>
  </si>
  <si>
    <t xml:space="preserve">8. Email verification (AC7, AC8)</t>
  </si>
  <si>
    <t xml:space="preserve">Click link verify trong vòng 24h → active</t>
  </si>
  <si>
    <t xml:space="preserve">User vừa đăng ký, status pending_verify</t>
  </si>
  <si>
    <t xml:space="preserve">1. Mở email
2. Click link 'Xác thực email'</t>
  </si>
  <si>
    <t xml:space="preserve">- Redirect to / với message 'Email đã xác thực'
- DB users.status = 'active', email_verified_at = NOW()
- Auto-login: cookie session_id được set
- Header hiển thị tên user</t>
  </si>
  <si>
    <t xml:space="preserve">Click link verify sau 24h → expired</t>
  </si>
  <si>
    <t xml:space="preserve">User đăng ký &gt; 24h trước, chưa verify
DB email_verifications.expires_at &lt; NOW()</t>
  </si>
  <si>
    <t xml:space="preserve">1. Click link verify trong email cũ</t>
  </si>
  <si>
    <t xml:space="preserve">- Page hiển thị: 'Link đã hết hạn'
- Có button 'Gửi lại email xác thực'
- DB users.status vẫn = 'pending_verify'</t>
  </si>
  <si>
    <t xml:space="preserve">Click link verify lần 2 (đã verify rồi)</t>
  </si>
  <si>
    <t xml:space="preserve">User đã verify thành công</t>
  </si>
  <si>
    <t xml:space="preserve">1. Click link verify cũ</t>
  </si>
  <si>
    <t xml:space="preserve">- Page: 'Email đã xác thực rồi, vui lòng đăng nhập'
- Redirect to /login
- Không lỗi, không tạo session mới</t>
  </si>
  <si>
    <t xml:space="preserve">9. Security</t>
  </si>
  <si>
    <t xml:space="preserve">Verify password lưu hash, không plaintext</t>
  </si>
  <si>
    <t xml:space="preserve">User đã đăng ký với password 'Pass@1234'</t>
  </si>
  <si>
    <t xml:space="preserve">1. Query DB: SELECT password FROM users WHERE email='newuser@example.com'</t>
  </si>
  <si>
    <t xml:space="preserve">- Password được hash bằng bcrypt/argon2
- Hash bắt đầu bằng '$2b$' (bcrypt) hoặc '$argon2'
- KHÔNG được lưu plaintext 'Pass@1234'</t>
  </si>
  <si>
    <t xml:space="preserve">Verify SQL injection trong field email</t>
  </si>
  <si>
    <t xml:space="preserve">1. Email = "test'; DROP TABLE users; --"
2. Submit</t>
  </si>
  <si>
    <t xml:space="preserve">- Validation reject email format
- Hoặc API trả 400, KHÔNG execute SQL
- Bảng users không bị drop
- Server log không có SQL error</t>
  </si>
  <si>
    <t xml:space="preserve">Verify CAPTCHA hiện sau 3 lần đăng ký fail từ cùng IP</t>
  </si>
  <si>
    <t xml:space="preserve">Cùng IP đã có 2 lần đăng ký fail</t>
  </si>
  <si>
    <t xml:space="preserve">1. Submit lần 3 với data invalid</t>
  </si>
  <si>
    <t xml:space="preserve">- Sau lần 3 fail, CAPTCHA hiện ra
- Lần 4 chưa giải CAPTCHA → block
- Sau giải CAPTCHA → cho phép submit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</si>
</sst>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B4C6E7"/>
        <bgColor rgb="FFB8CCE4"/>
      </patternFill>
    </fill>
    <fill>
      <patternFill patternType="solid">
        <fgColor rgb="FF5BC95E"/>
        <bgColor rgb="FF339966"/>
      </patternFill>
    </fill>
    <fill>
      <patternFill patternType="solid">
        <fgColor rgb="FFF7CAAC"/>
        <bgColor rgb="FFFBD4B4"/>
      </patternFill>
    </fill>
    <fill>
      <patternFill patternType="solid">
        <fgColor rgb="FFD8D8D8"/>
        <bgColor rgb="FFCFE2F3"/>
      </patternFill>
    </fill>
    <fill>
      <patternFill patternType="solid">
        <fgColor rgb="FFC2D69B"/>
        <bgColor rgb="FFBFBFBF"/>
      </patternFill>
    </fill>
    <fill>
      <patternFill patternType="solid">
        <fgColor rgb="FFFBD4B4"/>
        <bgColor rgb="FFF7CAAC"/>
      </patternFill>
    </fill>
    <fill>
      <patternFill patternType="solid">
        <fgColor rgb="FFB2A1C7"/>
        <bgColor rgb="FF999999"/>
      </patternFill>
    </fill>
    <fill>
      <patternFill patternType="solid">
        <fgColor rgb="FFBFBFBF"/>
        <bgColor rgb="FFB4C6E7"/>
      </patternFill>
    </fill>
    <fill>
      <patternFill patternType="solid">
        <fgColor rgb="FFB8CCE4"/>
        <bgColor rgb="FFB4C6E7"/>
      </patternFill>
    </fill>
    <fill>
      <patternFill patternType="solid">
        <fgColor rgb="FFFFCC66"/>
        <bgColor rgb="FFF7CAAC"/>
      </patternFill>
    </fill>
    <fill>
      <patternFill patternType="solid">
        <fgColor rgb="FFCFE2F3"/>
        <bgColor rgb="FFD8D8D8"/>
      </patternFill>
    </fill>
    <fill>
      <patternFill patternType="solid">
        <fgColor rgb="FFFFF2CC"/>
        <bgColor rgb="FFFFFFFF"/>
      </patternFill>
    </fill>
    <fill>
      <patternFill patternType="solid">
        <fgColor rgb="FFF4CCCC"/>
        <bgColor rgb="FFFBD4B4"/>
      </patternFill>
    </fill>
    <fill>
      <patternFill patternType="solid">
        <fgColor rgb="FFD9EAD3"/>
        <bgColor rgb="FFCFE2F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A1C7"/>
      <rgbColor rgb="FF993366"/>
      <rgbColor rgb="FFFFF2CC"/>
      <rgbColor rgb="FFCFE2F3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8D8D8"/>
      <rgbColor rgb="FFD9EAD3"/>
      <rgbColor rgb="FFFBD4B4"/>
      <rgbColor rgb="FFB4C6E7"/>
      <rgbColor rgb="FFF4CCCC"/>
      <rgbColor rgb="FFCC99FF"/>
      <rgbColor rgb="FFF7CAAC"/>
      <rgbColor rgb="FF3366FF"/>
      <rgbColor rgb="FF5BC95E"/>
      <rgbColor rgb="FFC2D69B"/>
      <rgbColor rgb="FFFFCC66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5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40"/>
    <col collapsed="false" customWidth="true" hidden="false" outlineLevel="0" max="7" min="6" style="0" width="10"/>
    <col collapsed="false" customWidth="true" hidden="false" outlineLevel="0" max="9" min="8" style="0" width="12"/>
    <col collapsed="false" customWidth="true" hidden="false" outlineLevel="0" max="10" min="10" style="0" width="13"/>
    <col collapsed="false" customWidth="true" hidden="false" outlineLevel="0" max="11" min="11" style="0" width="25"/>
    <col collapsed="false" customWidth="true" hidden="false" outlineLevel="0" max="12" min="12" style="0" width="10"/>
    <col collapsed="false" customWidth="true" hidden="false" outlineLevel="0" max="14" min="13" style="0" width="12"/>
    <col collapsed="false" customWidth="true" hidden="false" outlineLevel="0" max="15" min="15" style="0" width="13"/>
    <col collapsed="false" customWidth="true" hidden="false" outlineLevel="0" max="16" min="16" style="0" width="25"/>
    <col collapsed="false" customWidth="true" hidden="false" outlineLevel="0" max="17" min="17" style="0" width="10"/>
    <col collapsed="false" customWidth="true" hidden="false" outlineLevel="0" max="19" min="18" style="0" width="12"/>
    <col collapsed="false" customWidth="true" hidden="false" outlineLevel="0" max="20" min="20" style="0" width="13"/>
    <col collapsed="false" customWidth="true" hidden="false" outlineLevel="0" max="21" min="21" style="0" width="25"/>
  </cols>
  <sheetData>
    <row r="1" customFormat="false" ht="19.5" hidden="false" customHeight="true" outlineLevel="0" collapsed="false"/>
    <row r="2" customFormat="false" ht="21.75" hidden="false" customHeight="true" outlineLevel="0" collapsed="false">
      <c r="A2" s="1" t="s">
        <v>0</v>
      </c>
      <c r="B2" s="2" t="s">
        <v>1</v>
      </c>
      <c r="G2" s="3" t="s">
        <v>2</v>
      </c>
      <c r="H2" s="3"/>
      <c r="I2" s="3"/>
      <c r="J2" s="3"/>
      <c r="K2" s="3"/>
      <c r="L2" s="4" t="s">
        <v>3</v>
      </c>
      <c r="M2" s="4"/>
      <c r="N2" s="4"/>
      <c r="O2" s="4"/>
      <c r="P2" s="4"/>
      <c r="Q2" s="5" t="s">
        <v>4</v>
      </c>
      <c r="R2" s="5"/>
      <c r="S2" s="5"/>
      <c r="T2" s="5"/>
      <c r="U2" s="5"/>
    </row>
    <row r="3" customFormat="false" ht="21" hidden="false" customHeight="true" outlineLevel="0" collapsed="false">
      <c r="A3" s="6" t="s">
        <v>5</v>
      </c>
      <c r="B3" s="2" t="n">
        <f aca="false">COUNTIF(E8:E1865,"&lt;&gt;")</f>
        <v>29</v>
      </c>
      <c r="C3" s="1" t="s">
        <v>6</v>
      </c>
      <c r="D3" s="7" t="n">
        <f aca="false">IFERROR(B3/B4,0)</f>
        <v>0</v>
      </c>
      <c r="G3" s="8" t="s">
        <v>7</v>
      </c>
      <c r="H3" s="9" t="s">
        <v>8</v>
      </c>
      <c r="I3" s="10" t="s">
        <v>9</v>
      </c>
      <c r="J3" s="11" t="s">
        <v>10</v>
      </c>
      <c r="K3" s="12" t="s">
        <v>11</v>
      </c>
      <c r="L3" s="8" t="s">
        <v>7</v>
      </c>
      <c r="M3" s="9" t="s">
        <v>8</v>
      </c>
      <c r="N3" s="10" t="s">
        <v>9</v>
      </c>
      <c r="O3" s="11" t="s">
        <v>10</v>
      </c>
      <c r="P3" s="12" t="s">
        <v>11</v>
      </c>
      <c r="Q3" s="8" t="s">
        <v>7</v>
      </c>
      <c r="R3" s="9" t="s">
        <v>8</v>
      </c>
      <c r="S3" s="10" t="s">
        <v>9</v>
      </c>
      <c r="T3" s="11" t="s">
        <v>10</v>
      </c>
      <c r="U3" s="12" t="s">
        <v>11</v>
      </c>
    </row>
    <row r="4" customFormat="false" ht="33.75" hidden="false" customHeight="true" outlineLevel="0" collapsed="false">
      <c r="A4" s="6" t="s">
        <v>12</v>
      </c>
      <c r="B4" s="2" t="n">
        <f aca="false">K4+P4</f>
        <v>0</v>
      </c>
      <c r="C4" s="1" t="s">
        <v>13</v>
      </c>
      <c r="D4" s="2" t="s">
        <v>14</v>
      </c>
      <c r="G4" s="13" t="n">
        <f aca="false">COUNTIFS($G$6:$G$1406,"Pass")</f>
        <v>0</v>
      </c>
      <c r="H4" s="13" t="n">
        <f aca="false">COUNTIFS($G$6:$G$1406,"Fail")</f>
        <v>0</v>
      </c>
      <c r="I4" s="13" t="n">
        <f aca="false">COUNTIFS($G$6:$G$1406,"Impact")</f>
        <v>0</v>
      </c>
      <c r="J4" s="13" t="n">
        <f aca="false">COUNTIFS($G$6:$G$1406,"Not Run")</f>
        <v>0</v>
      </c>
      <c r="K4" s="13" t="n">
        <f aca="false">SUM(G4:J4)</f>
        <v>0</v>
      </c>
      <c r="L4" s="13" t="n">
        <f aca="false">COUNTIFS($L$6:$L$1406,"Pass")</f>
        <v>0</v>
      </c>
      <c r="M4" s="13" t="n">
        <f aca="false">COUNTIFS($L$6:$L$1406,"Fail")</f>
        <v>0</v>
      </c>
      <c r="N4" s="13" t="n">
        <f aca="false">COUNTIFS($L$6:$L$1406,"Impact")</f>
        <v>0</v>
      </c>
      <c r="O4" s="13" t="n">
        <f aca="false">COUNTIFS($L$6:$L$1406,"Not Run")</f>
        <v>0</v>
      </c>
      <c r="P4" s="13" t="n">
        <f aca="false">SUM(L4:O4)</f>
        <v>0</v>
      </c>
      <c r="Q4" s="13" t="n">
        <f aca="false">COUNTIFS($Q$6:$Q$1406,"Pass")</f>
        <v>0</v>
      </c>
      <c r="R4" s="13" t="n">
        <f aca="false">COUNTIFS($Q$6:$Q$1406,"Fail")</f>
        <v>0</v>
      </c>
      <c r="S4" s="13" t="n">
        <f aca="false">COUNTIFS($Q$6:$Q$1406,"Impact")</f>
        <v>0</v>
      </c>
      <c r="T4" s="13" t="n">
        <f aca="false">COUNTIFS($Q$6:$Q$1406,"Not Run")</f>
        <v>0</v>
      </c>
      <c r="U4" s="13" t="n">
        <f aca="false">SUM(Q4:T4)</f>
        <v>0</v>
      </c>
    </row>
    <row r="5" customFormat="false" ht="15.75" hidden="false" customHeight="true" outlineLevel="0" collapsed="false"/>
    <row r="6" customFormat="false" ht="21.75" hidden="false" customHeight="true" outlineLevel="0" collapsed="false">
      <c r="A6" s="14" t="s">
        <v>15</v>
      </c>
      <c r="B6" s="14" t="s">
        <v>16</v>
      </c>
      <c r="C6" s="14" t="s">
        <v>17</v>
      </c>
      <c r="D6" s="14" t="s">
        <v>18</v>
      </c>
      <c r="E6" s="14" t="s">
        <v>19</v>
      </c>
      <c r="F6" s="14" t="s">
        <v>20</v>
      </c>
      <c r="G6" s="15" t="s">
        <v>2</v>
      </c>
      <c r="H6" s="15"/>
      <c r="I6" s="15"/>
      <c r="J6" s="15"/>
      <c r="K6" s="15"/>
      <c r="L6" s="16" t="s">
        <v>3</v>
      </c>
      <c r="M6" s="16"/>
      <c r="N6" s="16"/>
      <c r="O6" s="16"/>
      <c r="P6" s="16"/>
      <c r="Q6" s="17" t="s">
        <v>4</v>
      </c>
      <c r="R6" s="17"/>
      <c r="S6" s="17"/>
      <c r="T6" s="17"/>
      <c r="U6" s="17"/>
    </row>
    <row r="7" customFormat="false" ht="21.75" hidden="false" customHeight="true" outlineLevel="0" collapsed="false">
      <c r="A7" s="14"/>
      <c r="B7" s="14"/>
      <c r="C7" s="14"/>
      <c r="D7" s="14"/>
      <c r="E7" s="14"/>
      <c r="F7" s="14"/>
      <c r="G7" s="18" t="s">
        <v>21</v>
      </c>
      <c r="H7" s="18" t="s">
        <v>22</v>
      </c>
      <c r="I7" s="18" t="s">
        <v>23</v>
      </c>
      <c r="J7" s="18" t="s">
        <v>24</v>
      </c>
      <c r="K7" s="18" t="s">
        <v>25</v>
      </c>
      <c r="L7" s="19" t="s">
        <v>21</v>
      </c>
      <c r="M7" s="19" t="s">
        <v>22</v>
      </c>
      <c r="N7" s="19" t="s">
        <v>23</v>
      </c>
      <c r="O7" s="19" t="s">
        <v>24</v>
      </c>
      <c r="P7" s="19" t="s">
        <v>25</v>
      </c>
      <c r="Q7" s="20" t="s">
        <v>21</v>
      </c>
      <c r="R7" s="20" t="s">
        <v>22</v>
      </c>
      <c r="S7" s="20" t="s">
        <v>23</v>
      </c>
      <c r="T7" s="20" t="s">
        <v>24</v>
      </c>
      <c r="U7" s="20" t="s">
        <v>25</v>
      </c>
    </row>
    <row r="8" customFormat="false" ht="21.75" hidden="false" customHeight="true" outlineLevel="0" collapsed="false">
      <c r="A8" s="21" t="s">
        <v>26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</row>
    <row r="9" customFormat="false" ht="199.5" hidden="false" customHeight="true" outlineLevel="0" collapsed="false">
      <c r="A9" s="22" t="str">
        <f aca="false">IF(OR(D9&lt;&gt;"",E9&lt;&gt;""),"["&amp;$B$2&amp;"-"&amp;TEXT(ROW()-7-COUNTBLANK($E$8:E9),"##")&amp;"]","")</f>
        <v>[USR_REG-1]</v>
      </c>
      <c r="B9" s="23" t="s">
        <v>27</v>
      </c>
      <c r="C9" s="23" t="s">
        <v>28</v>
      </c>
      <c r="D9" s="23" t="s">
        <v>29</v>
      </c>
      <c r="E9" s="23" t="s">
        <v>30</v>
      </c>
      <c r="F9" s="24" t="s">
        <v>31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</row>
    <row r="10" customFormat="false" ht="21.75" hidden="false" customHeight="true" outlineLevel="0" collapsed="false">
      <c r="A10" s="21" t="s">
        <v>32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</row>
    <row r="11" customFormat="false" ht="31.5" hidden="false" customHeight="true" outlineLevel="0" collapsed="false">
      <c r="A11" s="22" t="str">
        <f aca="false">IF(OR(D11&lt;&gt;"",E11&lt;&gt;""),"["&amp;$B$2&amp;"-"&amp;TEXT(ROW()-7-COUNTBLANK($E$8:E11),"##")&amp;"]","")</f>
        <v>[USR_REG-2]</v>
      </c>
      <c r="B11" s="23" t="s">
        <v>33</v>
      </c>
      <c r="C11" s="23" t="s">
        <v>34</v>
      </c>
      <c r="D11" s="23" t="s">
        <v>35</v>
      </c>
      <c r="E11" s="23" t="s">
        <v>36</v>
      </c>
      <c r="F11" s="25" t="s">
        <v>37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</row>
    <row r="12" customFormat="false" ht="31.5" hidden="false" customHeight="true" outlineLevel="0" collapsed="false">
      <c r="A12" s="22" t="str">
        <f aca="false">IF(OR(D12&lt;&gt;"",E12&lt;&gt;""),"["&amp;$B$2&amp;"-"&amp;TEXT(ROW()-7-COUNTBLANK($E$8:E12),"##")&amp;"]","")</f>
        <v>[USR_REG-3]</v>
      </c>
      <c r="B12" s="23" t="s">
        <v>38</v>
      </c>
      <c r="C12" s="23" t="s">
        <v>34</v>
      </c>
      <c r="D12" s="23" t="s">
        <v>39</v>
      </c>
      <c r="E12" s="23" t="s">
        <v>40</v>
      </c>
      <c r="F12" s="25" t="s">
        <v>37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</row>
    <row r="13" customFormat="false" ht="31.5" hidden="false" customHeight="true" outlineLevel="0" collapsed="false">
      <c r="A13" s="22" t="str">
        <f aca="false">IF(OR(D13&lt;&gt;"",E13&lt;&gt;""),"["&amp;$B$2&amp;"-"&amp;TEXT(ROW()-7-COUNTBLANK($E$8:E13),"##")&amp;"]","")</f>
        <v>[USR_REG-4]</v>
      </c>
      <c r="B13" s="23" t="s">
        <v>41</v>
      </c>
      <c r="C13" s="23" t="s">
        <v>42</v>
      </c>
      <c r="D13" s="23" t="s">
        <v>43</v>
      </c>
      <c r="E13" s="23" t="s">
        <v>44</v>
      </c>
      <c r="F13" s="25" t="s">
        <v>37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</row>
    <row r="14" customFormat="false" ht="31.5" hidden="false" customHeight="true" outlineLevel="0" collapsed="false">
      <c r="A14" s="22" t="str">
        <f aca="false">IF(OR(D14&lt;&gt;"",E14&lt;&gt;""),"["&amp;$B$2&amp;"-"&amp;TEXT(ROW()-7-COUNTBLANK($E$8:E14),"##")&amp;"]","")</f>
        <v>[USR_REG-5]</v>
      </c>
      <c r="B14" s="23" t="s">
        <v>45</v>
      </c>
      <c r="C14" s="23" t="s">
        <v>34</v>
      </c>
      <c r="D14" s="23" t="s">
        <v>46</v>
      </c>
      <c r="E14" s="23" t="s">
        <v>47</v>
      </c>
      <c r="F14" s="26" t="s">
        <v>48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</row>
    <row r="15" customFormat="false" ht="31.5" hidden="false" customHeight="true" outlineLevel="0" collapsed="false">
      <c r="A15" s="22" t="str">
        <f aca="false">IF(OR(D15&lt;&gt;"",E15&lt;&gt;""),"["&amp;$B$2&amp;"-"&amp;TEXT(ROW()-7-COUNTBLANK($E$8:E15),"##")&amp;"]","")</f>
        <v>[USR_REG-6]</v>
      </c>
      <c r="B15" s="23" t="s">
        <v>49</v>
      </c>
      <c r="C15" s="23" t="s">
        <v>34</v>
      </c>
      <c r="D15" s="23" t="s">
        <v>50</v>
      </c>
      <c r="E15" s="23" t="s">
        <v>51</v>
      </c>
      <c r="F15" s="24" t="s">
        <v>31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</row>
    <row r="16" customFormat="false" ht="21.75" hidden="false" customHeight="true" outlineLevel="0" collapsed="false">
      <c r="A16" s="21" t="s">
        <v>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</row>
    <row r="17" customFormat="false" ht="31.5" hidden="false" customHeight="true" outlineLevel="0" collapsed="false">
      <c r="A17" s="22" t="str">
        <f aca="false">IF(OR(D17&lt;&gt;"",E17&lt;&gt;""),"["&amp;$B$2&amp;"-"&amp;TEXT(ROW()-7-COUNTBLANK($E$8:E17),"##")&amp;"]","")</f>
        <v>[USR_REG-7]</v>
      </c>
      <c r="B17" s="23" t="s">
        <v>53</v>
      </c>
      <c r="C17" s="23" t="s">
        <v>34</v>
      </c>
      <c r="D17" s="23" t="s">
        <v>54</v>
      </c>
      <c r="E17" s="23" t="s">
        <v>55</v>
      </c>
      <c r="F17" s="25" t="s">
        <v>37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</row>
    <row r="18" customFormat="false" ht="31.5" hidden="false" customHeight="true" outlineLevel="0" collapsed="false">
      <c r="A18" s="22" t="str">
        <f aca="false">IF(OR(D18&lt;&gt;"",E18&lt;&gt;""),"["&amp;$B$2&amp;"-"&amp;TEXT(ROW()-7-COUNTBLANK($E$8:E18),"##")&amp;"]","")</f>
        <v>[USR_REG-8]</v>
      </c>
      <c r="B18" s="23" t="s">
        <v>56</v>
      </c>
      <c r="C18" s="23" t="s">
        <v>34</v>
      </c>
      <c r="D18" s="23" t="s">
        <v>57</v>
      </c>
      <c r="E18" s="23" t="s">
        <v>58</v>
      </c>
      <c r="F18" s="25" t="s">
        <v>37</v>
      </c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</row>
    <row r="19" customFormat="false" ht="31.5" hidden="false" customHeight="true" outlineLevel="0" collapsed="false">
      <c r="A19" s="22" t="str">
        <f aca="false">IF(OR(D19&lt;&gt;"",E19&lt;&gt;""),"["&amp;$B$2&amp;"-"&amp;TEXT(ROW()-7-COUNTBLANK($E$8:E19),"##")&amp;"]","")</f>
        <v>[USR_REG-9]</v>
      </c>
      <c r="B19" s="23" t="s">
        <v>59</v>
      </c>
      <c r="C19" s="23" t="s">
        <v>34</v>
      </c>
      <c r="D19" s="23" t="s">
        <v>60</v>
      </c>
      <c r="E19" s="23" t="s">
        <v>61</v>
      </c>
      <c r="F19" s="25" t="s">
        <v>37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</row>
    <row r="20" customFormat="false" ht="31.5" hidden="false" customHeight="true" outlineLevel="0" collapsed="false">
      <c r="A20" s="22" t="str">
        <f aca="false">IF(OR(D20&lt;&gt;"",E20&lt;&gt;""),"["&amp;$B$2&amp;"-"&amp;TEXT(ROW()-7-COUNTBLANK($E$8:E20),"##")&amp;"]","")</f>
        <v>[USR_REG-10]</v>
      </c>
      <c r="B20" s="23" t="s">
        <v>62</v>
      </c>
      <c r="C20" s="23" t="s">
        <v>34</v>
      </c>
      <c r="D20" s="23" t="s">
        <v>63</v>
      </c>
      <c r="E20" s="23" t="s">
        <v>64</v>
      </c>
      <c r="F20" s="24" t="s">
        <v>31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</row>
    <row r="21" customFormat="false" ht="31.5" hidden="false" customHeight="true" outlineLevel="0" collapsed="false">
      <c r="A21" s="22" t="str">
        <f aca="false">IF(OR(D21&lt;&gt;"",E21&lt;&gt;""),"["&amp;$B$2&amp;"-"&amp;TEXT(ROW()-7-COUNTBLANK($E$8:E21),"##")&amp;"]","")</f>
        <v>[USR_REG-11]</v>
      </c>
      <c r="B21" s="23" t="s">
        <v>65</v>
      </c>
      <c r="C21" s="23" t="s">
        <v>34</v>
      </c>
      <c r="D21" s="23" t="s">
        <v>66</v>
      </c>
      <c r="E21" s="23" t="s">
        <v>67</v>
      </c>
      <c r="F21" s="24" t="s">
        <v>31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</row>
    <row r="22" customFormat="false" ht="31.5" hidden="false" customHeight="true" outlineLevel="0" collapsed="false">
      <c r="A22" s="22" t="str">
        <f aca="false">IF(OR(D22&lt;&gt;"",E22&lt;&gt;""),"["&amp;$B$2&amp;"-"&amp;TEXT(ROW()-7-COUNTBLANK($E$8:E22),"##")&amp;"]","")</f>
        <v>[USR_REG-12]</v>
      </c>
      <c r="B22" s="23" t="s">
        <v>68</v>
      </c>
      <c r="C22" s="23" t="s">
        <v>34</v>
      </c>
      <c r="D22" s="23" t="s">
        <v>69</v>
      </c>
      <c r="E22" s="23" t="s">
        <v>70</v>
      </c>
      <c r="F22" s="25" t="s">
        <v>37</v>
      </c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</row>
    <row r="23" customFormat="false" ht="31.5" hidden="false" customHeight="true" outlineLevel="0" collapsed="false">
      <c r="A23" s="22" t="str">
        <f aca="false">IF(OR(D23&lt;&gt;"",E23&lt;&gt;""),"["&amp;$B$2&amp;"-"&amp;TEXT(ROW()-7-COUNTBLANK($E$8:E23),"##")&amp;"]","")</f>
        <v>[USR_REG-13]</v>
      </c>
      <c r="B23" s="23" t="s">
        <v>71</v>
      </c>
      <c r="C23" s="23" t="s">
        <v>34</v>
      </c>
      <c r="D23" s="23" t="s">
        <v>72</v>
      </c>
      <c r="E23" s="23" t="s">
        <v>73</v>
      </c>
      <c r="F23" s="25" t="s">
        <v>37</v>
      </c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</row>
    <row r="24" customFormat="false" ht="31.5" hidden="false" customHeight="true" outlineLevel="0" collapsed="false">
      <c r="A24" s="22" t="str">
        <f aca="false">IF(OR(D24&lt;&gt;"",E24&lt;&gt;""),"["&amp;$B$2&amp;"-"&amp;TEXT(ROW()-7-COUNTBLANK($E$8:E24),"##")&amp;"]","")</f>
        <v>[USR_REG-14]</v>
      </c>
      <c r="B24" s="23" t="s">
        <v>74</v>
      </c>
      <c r="C24" s="23" t="s">
        <v>34</v>
      </c>
      <c r="D24" s="23" t="s">
        <v>75</v>
      </c>
      <c r="E24" s="23" t="s">
        <v>76</v>
      </c>
      <c r="F24" s="25" t="s">
        <v>37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</row>
    <row r="25" customFormat="false" ht="21.75" hidden="false" customHeight="true" outlineLevel="0" collapsed="false">
      <c r="A25" s="21" t="s">
        <v>77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</row>
    <row r="26" customFormat="false" ht="48" hidden="false" customHeight="true" outlineLevel="0" collapsed="false">
      <c r="A26" s="22" t="str">
        <f aca="false">IF(OR(D26&lt;&gt;"",E26&lt;&gt;""),"["&amp;$B$2&amp;"-"&amp;TEXT(ROW()-7-COUNTBLANK($E$8:E26),"##")&amp;"]","")</f>
        <v>[USR_REG-15]</v>
      </c>
      <c r="B26" s="23" t="s">
        <v>78</v>
      </c>
      <c r="C26" s="23" t="s">
        <v>34</v>
      </c>
      <c r="D26" s="23" t="s">
        <v>79</v>
      </c>
      <c r="E26" s="23" t="s">
        <v>80</v>
      </c>
      <c r="F26" s="25" t="s">
        <v>37</v>
      </c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</row>
    <row r="27" customFormat="false" ht="48" hidden="false" customHeight="true" outlineLevel="0" collapsed="false">
      <c r="A27" s="22" t="str">
        <f aca="false">IF(OR(D27&lt;&gt;"",E27&lt;&gt;""),"["&amp;$B$2&amp;"-"&amp;TEXT(ROW()-7-COUNTBLANK($E$8:E27),"##")&amp;"]","")</f>
        <v>[USR_REG-16]</v>
      </c>
      <c r="B27" s="23" t="s">
        <v>81</v>
      </c>
      <c r="C27" s="23" t="s">
        <v>34</v>
      </c>
      <c r="D27" s="23" t="s">
        <v>82</v>
      </c>
      <c r="E27" s="23" t="s">
        <v>83</v>
      </c>
      <c r="F27" s="25" t="s">
        <v>37</v>
      </c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</row>
    <row r="28" customFormat="false" ht="21.75" hidden="false" customHeight="true" outlineLevel="0" collapsed="false">
      <c r="A28" s="21" t="s">
        <v>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</row>
    <row r="29" customFormat="false" ht="31.5" hidden="false" customHeight="true" outlineLevel="0" collapsed="false">
      <c r="A29" s="22" t="str">
        <f aca="false">IF(OR(D29&lt;&gt;"",E29&lt;&gt;""),"["&amp;$B$2&amp;"-"&amp;TEXT(ROW()-7-COUNTBLANK($E$8:E29),"##")&amp;"]","")</f>
        <v>[USR_REG-17]</v>
      </c>
      <c r="B29" s="23" t="s">
        <v>85</v>
      </c>
      <c r="C29" s="23" t="s">
        <v>34</v>
      </c>
      <c r="D29" s="23" t="s">
        <v>86</v>
      </c>
      <c r="E29" s="23" t="s">
        <v>87</v>
      </c>
      <c r="F29" s="24" t="s">
        <v>31</v>
      </c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</row>
    <row r="30" customFormat="false" ht="31.5" hidden="false" customHeight="true" outlineLevel="0" collapsed="false">
      <c r="A30" s="22" t="str">
        <f aca="false">IF(OR(D30&lt;&gt;"",E30&lt;&gt;""),"["&amp;$B$2&amp;"-"&amp;TEXT(ROW()-7-COUNTBLANK($E$8:E30),"##")&amp;"]","")</f>
        <v>[USR_REG-18]</v>
      </c>
      <c r="B30" s="23" t="s">
        <v>88</v>
      </c>
      <c r="C30" s="23" t="s">
        <v>34</v>
      </c>
      <c r="D30" s="23" t="s">
        <v>89</v>
      </c>
      <c r="E30" s="23" t="s">
        <v>90</v>
      </c>
      <c r="F30" s="24" t="s">
        <v>31</v>
      </c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</row>
    <row r="31" customFormat="false" ht="31.5" hidden="false" customHeight="true" outlineLevel="0" collapsed="false">
      <c r="A31" s="22" t="str">
        <f aca="false">IF(OR(D31&lt;&gt;"",E31&lt;&gt;""),"["&amp;$B$2&amp;"-"&amp;TEXT(ROW()-7-COUNTBLANK($E$8:E31),"##")&amp;"]","")</f>
        <v>[USR_REG-19]</v>
      </c>
      <c r="B31" s="23" t="s">
        <v>91</v>
      </c>
      <c r="C31" s="23" t="s">
        <v>34</v>
      </c>
      <c r="D31" s="23" t="s">
        <v>92</v>
      </c>
      <c r="E31" s="23" t="s">
        <v>93</v>
      </c>
      <c r="F31" s="24" t="s">
        <v>31</v>
      </c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</row>
    <row r="32" customFormat="false" ht="21.75" hidden="false" customHeight="true" outlineLevel="0" collapsed="false">
      <c r="A32" s="21" t="s">
        <v>94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</row>
    <row r="33" customFormat="false" ht="159.75" hidden="false" customHeight="true" outlineLevel="0" collapsed="false">
      <c r="A33" s="22" t="str">
        <f aca="false">IF(OR(D33&lt;&gt;"",E33&lt;&gt;""),"["&amp;$B$2&amp;"-"&amp;TEXT(ROW()-7-COUNTBLANK($E$8:E33),"##")&amp;"]","")</f>
        <v>[USR_REG-20]</v>
      </c>
      <c r="B33" s="23" t="s">
        <v>95</v>
      </c>
      <c r="C33" s="23" t="s">
        <v>96</v>
      </c>
      <c r="D33" s="23" t="s">
        <v>97</v>
      </c>
      <c r="E33" s="23" t="s">
        <v>98</v>
      </c>
      <c r="F33" s="25" t="s">
        <v>37</v>
      </c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</row>
    <row r="34" customFormat="false" ht="21.75" hidden="false" customHeight="true" outlineLevel="0" collapsed="false">
      <c r="A34" s="21" t="s">
        <v>99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</row>
    <row r="35" customFormat="false" ht="48" hidden="false" customHeight="true" outlineLevel="0" collapsed="false">
      <c r="A35" s="22" t="str">
        <f aca="false">IF(OR(D35&lt;&gt;"",E35&lt;&gt;""),"["&amp;$B$2&amp;"-"&amp;TEXT(ROW()-7-COUNTBLANK($E$8:E35),"##")&amp;"]","")</f>
        <v>[USR_REG-21]</v>
      </c>
      <c r="B35" s="23" t="s">
        <v>100</v>
      </c>
      <c r="C35" s="23" t="s">
        <v>101</v>
      </c>
      <c r="D35" s="23" t="s">
        <v>102</v>
      </c>
      <c r="E35" s="23" t="s">
        <v>103</v>
      </c>
      <c r="F35" s="25" t="s">
        <v>37</v>
      </c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</row>
    <row r="36" customFormat="false" ht="63.75" hidden="false" customHeight="true" outlineLevel="0" collapsed="false">
      <c r="A36" s="22" t="str">
        <f aca="false">IF(OR(D36&lt;&gt;"",E36&lt;&gt;""),"["&amp;$B$2&amp;"-"&amp;TEXT(ROW()-7-COUNTBLANK($E$8:E36),"##")&amp;"]","")</f>
        <v>[USR_REG-22]</v>
      </c>
      <c r="B36" s="23" t="s">
        <v>104</v>
      </c>
      <c r="C36" s="23" t="s">
        <v>105</v>
      </c>
      <c r="D36" s="23" t="s">
        <v>106</v>
      </c>
      <c r="E36" s="23" t="s">
        <v>107</v>
      </c>
      <c r="F36" s="24" t="s">
        <v>31</v>
      </c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</row>
    <row r="37" customFormat="false" ht="63.75" hidden="false" customHeight="true" outlineLevel="0" collapsed="false">
      <c r="A37" s="22" t="str">
        <f aca="false">IF(OR(D37&lt;&gt;"",E37&lt;&gt;""),"["&amp;$B$2&amp;"-"&amp;TEXT(ROW()-7-COUNTBLANK($E$8:E37),"##")&amp;"]","")</f>
        <v>[USR_REG-23]</v>
      </c>
      <c r="B37" s="23" t="s">
        <v>108</v>
      </c>
      <c r="C37" s="23" t="s">
        <v>109</v>
      </c>
      <c r="D37" s="23" t="s">
        <v>110</v>
      </c>
      <c r="E37" s="23" t="s">
        <v>111</v>
      </c>
      <c r="F37" s="25" t="s">
        <v>37</v>
      </c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</row>
    <row r="38" customFormat="false" ht="21.75" hidden="false" customHeight="true" outlineLevel="0" collapsed="false">
      <c r="A38" s="21" t="s">
        <v>112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</row>
    <row r="39" customFormat="false" ht="96" hidden="false" customHeight="true" outlineLevel="0" collapsed="false">
      <c r="A39" s="22" t="str">
        <f aca="false">IF(OR(D39&lt;&gt;"",E39&lt;&gt;""),"["&amp;$B$2&amp;"-"&amp;TEXT(ROW()-7-COUNTBLANK($E$8:E39),"##")&amp;"]","")</f>
        <v>[USR_REG-24]</v>
      </c>
      <c r="B39" s="23" t="s">
        <v>113</v>
      </c>
      <c r="C39" s="23" t="s">
        <v>114</v>
      </c>
      <c r="D39" s="23" t="s">
        <v>115</v>
      </c>
      <c r="E39" s="23" t="s">
        <v>116</v>
      </c>
      <c r="F39" s="25" t="s">
        <v>37</v>
      </c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</row>
    <row r="40" customFormat="false" ht="63.75" hidden="false" customHeight="true" outlineLevel="0" collapsed="false">
      <c r="A40" s="22" t="str">
        <f aca="false">IF(OR(D40&lt;&gt;"",E40&lt;&gt;""),"["&amp;$B$2&amp;"-"&amp;TEXT(ROW()-7-COUNTBLANK($E$8:E40),"##")&amp;"]","")</f>
        <v>[USR_REG-25]</v>
      </c>
      <c r="B40" s="23" t="s">
        <v>117</v>
      </c>
      <c r="C40" s="23" t="s">
        <v>118</v>
      </c>
      <c r="D40" s="23" t="s">
        <v>119</v>
      </c>
      <c r="E40" s="23" t="s">
        <v>120</v>
      </c>
      <c r="F40" s="25" t="s">
        <v>37</v>
      </c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</row>
    <row r="41" customFormat="false" ht="63.75" hidden="false" customHeight="true" outlineLevel="0" collapsed="false">
      <c r="A41" s="22" t="str">
        <f aca="false">IF(OR(D41&lt;&gt;"",E41&lt;&gt;""),"["&amp;$B$2&amp;"-"&amp;TEXT(ROW()-7-COUNTBLANK($E$8:E41),"##")&amp;"]","")</f>
        <v>[USR_REG-26]</v>
      </c>
      <c r="B41" s="23" t="s">
        <v>121</v>
      </c>
      <c r="C41" s="23" t="s">
        <v>122</v>
      </c>
      <c r="D41" s="23" t="s">
        <v>123</v>
      </c>
      <c r="E41" s="23" t="s">
        <v>124</v>
      </c>
      <c r="F41" s="24" t="s">
        <v>31</v>
      </c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</row>
    <row r="42" customFormat="false" ht="21.75" hidden="false" customHeight="true" outlineLevel="0" collapsed="false">
      <c r="A42" s="21" t="s">
        <v>125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</row>
    <row r="43" customFormat="false" ht="63.75" hidden="false" customHeight="true" outlineLevel="0" collapsed="false">
      <c r="A43" s="22" t="str">
        <f aca="false">IF(OR(D43&lt;&gt;"",E43&lt;&gt;""),"["&amp;$B$2&amp;"-"&amp;TEXT(ROW()-7-COUNTBLANK($E$8:E43),"##")&amp;"]","")</f>
        <v>[USR_REG-27]</v>
      </c>
      <c r="B43" s="23" t="s">
        <v>126</v>
      </c>
      <c r="C43" s="23" t="s">
        <v>127</v>
      </c>
      <c r="D43" s="23" t="s">
        <v>128</v>
      </c>
      <c r="E43" s="23" t="s">
        <v>129</v>
      </c>
      <c r="F43" s="25" t="s">
        <v>37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</row>
    <row r="44" customFormat="false" ht="79.5" hidden="false" customHeight="true" outlineLevel="0" collapsed="false">
      <c r="A44" s="22" t="str">
        <f aca="false">IF(OR(D44&lt;&gt;"",E44&lt;&gt;""),"["&amp;$B$2&amp;"-"&amp;TEXT(ROW()-7-COUNTBLANK($E$8:E44),"##")&amp;"]","")</f>
        <v>[USR_REG-28]</v>
      </c>
      <c r="B44" s="23" t="s">
        <v>130</v>
      </c>
      <c r="C44" s="23" t="s">
        <v>34</v>
      </c>
      <c r="D44" s="23" t="s">
        <v>131</v>
      </c>
      <c r="E44" s="23" t="s">
        <v>132</v>
      </c>
      <c r="F44" s="25" t="s">
        <v>37</v>
      </c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</row>
    <row r="45" customFormat="false" ht="63.75" hidden="false" customHeight="true" outlineLevel="0" collapsed="false">
      <c r="A45" s="22" t="str">
        <f aca="false">IF(OR(D45&lt;&gt;"",E45&lt;&gt;""),"["&amp;$B$2&amp;"-"&amp;TEXT(ROW()-7-COUNTBLANK($E$8:E45),"##")&amp;"]","")</f>
        <v>[USR_REG-29]</v>
      </c>
      <c r="B45" s="23" t="s">
        <v>133</v>
      </c>
      <c r="C45" s="23" t="s">
        <v>134</v>
      </c>
      <c r="D45" s="23" t="s">
        <v>135</v>
      </c>
      <c r="E45" s="23" t="s">
        <v>136</v>
      </c>
      <c r="F45" s="25" t="s">
        <v>37</v>
      </c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</row>
  </sheetData>
  <mergeCells count="12">
    <mergeCell ref="G2:K2"/>
    <mergeCell ref="L2:P2"/>
    <mergeCell ref="Q2:U2"/>
    <mergeCell ref="A6:A7"/>
    <mergeCell ref="B6:B7"/>
    <mergeCell ref="C6:C7"/>
    <mergeCell ref="D6:D7"/>
    <mergeCell ref="E6:E7"/>
    <mergeCell ref="F6:F7"/>
    <mergeCell ref="G6:K6"/>
    <mergeCell ref="L6:P6"/>
    <mergeCell ref="Q6:U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2026-05-09T16:34:14Z</dcterms:created>
  <dc:creator>openpyxl</dc:creator>
  <dc:description/>
  <dc:language>en-US</dc:language>
  <cp:lastModifiedBy/>
  <dcterms:modified xsi:type="dcterms:W3CDTF">2026-05-09T16:34:14Z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