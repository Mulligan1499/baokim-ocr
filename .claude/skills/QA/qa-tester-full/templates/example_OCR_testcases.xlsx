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R A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<sst xmlns="http://schemas.openxmlformats.org/spreadsheetml/2006/main" count="670" uniqueCount="481">
  <si>
    <t xml:space="preserve">Module Code</t>
  </si>
  <si>
    <t xml:space="preserve">OCR</t>
  </si>
  <si>
    <t xml:space="preserve">Round 1</t>
  </si>
  <si>
    <t xml:space="preserve">Round 2</t>
  </si>
  <si>
    <t xml:space="preserve">Round 3</t>
  </si>
  <si>
    <t xml:space="preserve">Total of Test cases Created</t>
  </si>
  <si>
    <t xml:space="preserve">% Executed round 1</t>
  </si>
  <si>
    <t xml:space="preserve">Pass</t>
  </si>
  <si>
    <t xml:space="preserve">Fail</t>
  </si>
  <si>
    <t xml:space="preserve">Impact</t>
  </si>
  <si>
    <t xml:space="preserve">Not Run</t>
  </si>
  <si>
    <t xml:space="preserve">Total</t>
  </si>
  <si>
    <t xml:space="preserve">Total of Test cases plan to Executed</t>
  </si>
  <si>
    <t xml:space="preserve">Creator</t>
  </si>
  <si>
    <t xml:space="preserve">QA Team</t>
  </si>
  <si>
    <t xml:space="preserve">ID</t>
  </si>
  <si>
    <t xml:space="preserve">Test Item</t>
  </si>
  <si>
    <t xml:space="preserve">Pre - Condition</t>
  </si>
  <si>
    <t xml:space="preserve">Step</t>
  </si>
  <si>
    <t xml:space="preserve">Expected Output</t>
  </si>
  <si>
    <t xml:space="preserve">Priority</t>
  </si>
  <si>
    <t xml:space="preserve">Result</t>
  </si>
  <si>
    <t xml:space="preserve">Bug ID</t>
  </si>
  <si>
    <t xml:space="preserve">Tester</t>
  </si>
  <si>
    <t xml:space="preserve">Test Date</t>
  </si>
  <si>
    <t xml:space="preserve">Note</t>
  </si>
  <si>
    <t xml:space="preserve">1.1 Functional — Upload tài liệu (file format support)</t>
  </si>
  <si>
    <t xml:space="preserve">Upload ảnh JPG → process thành công</t>
  </si>
  <si>
    <t xml:space="preserve">User đã login với role KSNB
File JPG cccd.jpg 2MB hợp lệ</t>
  </si>
  <si>
    <t xml:space="preserve">1. POST /api/v1/ocr/jobs với file=cccd.jpg
2. Poll GET /api/v1/ocr/jobs/{job_id} đến status=completed</t>
  </si>
  <si>
    <t xml:space="preserve">- POST trả 202 với job_id
- GET cuối trả 200 với result.raw_text có nội dung
- result.detected_language = 'vi'
- result.extracted_fields có ≥ 3 field</t>
  </si>
  <si>
    <t xml:space="preserve">High</t>
  </si>
  <si>
    <t xml:space="preserve">Upload ảnh PNG → process thành công</t>
  </si>
  <si>
    <t xml:space="preserve">File passport.png 3MB</t>
  </si>
  <si>
    <t xml:space="preserve">1. POST với file PNG
2. Poll đến completed</t>
  </si>
  <si>
    <t xml:space="preserve">Process thành công, result đầy đủ</t>
  </si>
  <si>
    <t xml:space="preserve">Upload PDF text-based 1 page → process</t>
  </si>
  <si>
    <t xml:space="preserve">File contract.pdf 500KB, text-selectable PDF</t>
  </si>
  <si>
    <t xml:space="preserve">1. POST PDF
2. Poll completed</t>
  </si>
  <si>
    <t xml:space="preserve">raw_text khớp với text trong PDF
confidence cao (&gt;0.95) vì PDF text-based</t>
  </si>
  <si>
    <t xml:space="preserve">Upload PDF scan-based (ảnh trong PDF) → process</t>
  </si>
  <si>
    <t xml:space="preserve">File scanned.pdf chứa ảnh scan tài liệu</t>
  </si>
  <si>
    <t xml:space="preserve">raw_text được OCR từ ảnh
confidence trung bình hơn PDF text-based</t>
  </si>
  <si>
    <t xml:space="preserve">Upload PDF multi-page (5 pages)</t>
  </si>
  <si>
    <t xml:space="preserve">File 5pages.pdf</t>
  </si>
  <si>
    <t xml:space="preserve">result.file.page_count = 5
raw_text concatenate từ tất cả page (có separator)</t>
  </si>
  <si>
    <t xml:space="preserve">Upload TIFF (scan format) → process</t>
  </si>
  <si>
    <t xml:space="preserve">File document.tiff</t>
  </si>
  <si>
    <t xml:space="preserve">1. POST TIFF</t>
  </si>
  <si>
    <t xml:space="preserve">Process thành công</t>
  </si>
  <si>
    <t xml:space="preserve">Medium</t>
  </si>
  <si>
    <t xml:space="preserve">Upload HEIC (iPhone) → process</t>
  </si>
  <si>
    <t xml:space="preserve">File ảnh chụp iPhone .heic</t>
  </si>
  <si>
    <t xml:space="preserve">1. POST HEIC</t>
  </si>
  <si>
    <t xml:space="preserve">Process thành công (auto convert sang JPG nội bộ)</t>
  </si>
  <si>
    <t xml:space="preserve">Upload file format không hỗ trợ (.docx)</t>
  </si>
  <si>
    <t xml:space="preserve">File document.docx</t>
  </si>
  <si>
    <t xml:space="preserve">1. POST .docx</t>
  </si>
  <si>
    <t xml:space="preserve">POST trả 400 với error_code 'UNSUPPORTED_FORMAT'
Message rõ: 'Chỉ hỗ trợ JPG, PNG, TIFF, HEIC, PDF'
Không tạo job</t>
  </si>
  <si>
    <t xml:space="preserve">Upload file extension giả (PDF rename từ EXE)</t>
  </si>
  <si>
    <t xml:space="preserve">File malicious.exe đổi tên thành malicious.pdf</t>
  </si>
  <si>
    <t xml:space="preserve">1. POST file</t>
  </si>
  <si>
    <t xml:space="preserve">Server detect MIME type thực tế qua magic bytes
Reject với 400 'INVALID_FILE_CONTENT'
Not just trust extension</t>
  </si>
  <si>
    <t xml:space="preserve">1.2 Functional — File size &amp; resource boundary (BVA)</t>
  </si>
  <si>
    <t xml:space="preserve">Upload file 0 byte (rỗng)</t>
  </si>
  <si>
    <t xml:space="preserve">File empty.pdf 0 byte</t>
  </si>
  <si>
    <t xml:space="preserve">400 'EMPTY_FILE'</t>
  </si>
  <si>
    <t xml:space="preserve">Upload file 1KB (rất nhỏ)</t>
  </si>
  <si>
    <t xml:space="preserve">File 1KB</t>
  </si>
  <si>
    <t xml:space="preserve">Process được, nhưng confidence rất thấp
needs_review = true</t>
  </si>
  <si>
    <t xml:space="preserve">Upload file 20MB (đúng max) — BVA</t>
  </si>
  <si>
    <t xml:space="preserve">File 20MB hợp lệ</t>
  </si>
  <si>
    <t xml:space="preserve">Process thành công
Processing time có thể lâu (10-30s)</t>
  </si>
  <si>
    <t xml:space="preserve">Upload file 21MB (vượt max) — BVA</t>
  </si>
  <si>
    <t xml:space="preserve">File 21MB</t>
  </si>
  <si>
    <t xml:space="preserve">413 Payload Too Large
Error code 'FILE_TOO_LARGE'
Message: 'File tối đa 20MB'
Không tạo job</t>
  </si>
  <si>
    <t xml:space="preserve">Upload PDF 50 page (đúng max) — BVA</t>
  </si>
  <si>
    <t xml:space="preserve">File PDF 50 pages</t>
  </si>
  <si>
    <t xml:space="preserve">1. POST file
2. Poll</t>
  </si>
  <si>
    <t xml:space="preserve">Process thành công, page_count = 50</t>
  </si>
  <si>
    <t xml:space="preserve">Upload PDF 51 page (vượt max) — BVA</t>
  </si>
  <si>
    <t xml:space="preserve">File PDF 51 pages</t>
  </si>
  <si>
    <t xml:space="preserve">400 'TOO_MANY_PAGES'
Message: 'Tối đa 50 trang PDF'</t>
  </si>
  <si>
    <t xml:space="preserve">Upload ảnh resolution rất thấp (50x50px)</t>
  </si>
  <si>
    <t xml:space="preserve">Ảnh 50x50px</t>
  </si>
  <si>
    <t xml:space="preserve">1. POST</t>
  </si>
  <si>
    <t xml:space="preserve">Process được, nhưng confidence rất thấp, raw_text có thể empty
needs_review = true</t>
  </si>
  <si>
    <t xml:space="preserve">Upload ảnh resolution rất cao (10000x10000)</t>
  </si>
  <si>
    <t xml:space="preserve">Ảnh 10000x10000px, 18MB</t>
  </si>
  <si>
    <t xml:space="preserve">Process thành công (chấp nhận do &lt; 20MB)</t>
  </si>
  <si>
    <t xml:space="preserve">Low</t>
  </si>
  <si>
    <t xml:space="preserve">1.3 Functional — Language detection &amp; multi-language</t>
  </si>
  <si>
    <t xml:space="preserve">Tài liệu tiếng Việt → detect 'vi', không dịch</t>
  </si>
  <si>
    <t xml:space="preserve">File CCCD tiếng Việt</t>
  </si>
  <si>
    <t xml:space="preserve">1. POST + poll</t>
  </si>
  <si>
    <t xml:space="preserve">detected_language = 'vi'
translated_text_vi = null</t>
  </si>
  <si>
    <t xml:space="preserve">Tài liệu tiếng Anh → detect 'en', có dịch sang VI</t>
  </si>
  <si>
    <t xml:space="preserve">File hợp đồng tiếng Anh</t>
  </si>
  <si>
    <t xml:space="preserve">detected_language = 'en'
translated_text_vi có nội dung tiếng Việt dễ hiểu</t>
  </si>
  <si>
    <t xml:space="preserve">Tài liệu tiếng Trung giản thể → detect 'zh', dịch VI</t>
  </si>
  <si>
    <t xml:space="preserve">File giấy tờ tiếng Trung simplified</t>
  </si>
  <si>
    <t xml:space="preserve">detected_language = 'zh' hoặc 'zh-CN'
translated_text_vi có</t>
  </si>
  <si>
    <t xml:space="preserve">Tài liệu tiếng Trung phồn thể → detect 'zh-TW', dịch VI</t>
  </si>
  <si>
    <t xml:space="preserve">File tiếng Trung traditional</t>
  </si>
  <si>
    <t xml:space="preserve">detected_language = 'zh-TW' hoặc 'zh'
translated_text_vi có</t>
  </si>
  <si>
    <t xml:space="preserve">Tài liệu mix VI+EN (vd hợp đồng song ngữ)</t>
  </si>
  <si>
    <t xml:space="preserve">File hợp đồng VI/EN song ngữ</t>
  </si>
  <si>
    <t xml:space="preserve">detected_language = 'vi' hoặc 'en' (ngôn ngữ chiếm ưu thế)
raw_text giữ nguyên cả 2 ngôn ngữ
translated_text_vi nếu detect là 'en' thì dịch phần EN</t>
  </si>
  <si>
    <t xml:space="preserve">Tài liệu tiếng Pháp (ngoài 3 ngôn ngữ support)</t>
  </si>
  <si>
    <t xml:space="preserve">File giấy tờ tiếng Pháp</t>
  </si>
  <si>
    <t xml:space="preserve">[ASSUMPTION] Process best-effort, set needs_review=true
Verify với BA option (a) Reject 'UNSUPPORTED_LANGUAGE' hay (b) Process best-effort</t>
  </si>
  <si>
    <t xml:space="preserve">Tài liệu tiếng Việt KHÔNG dấu</t>
  </si>
  <si>
    <t xml:space="preserve">File text 'Nguyen Van A, 01/01/1990'</t>
  </si>
  <si>
    <t xml:space="preserve">detect_language = 'vi'
raw_text giữ nguyên không dấu
Không tự thêm dấu</t>
  </si>
  <si>
    <t xml:space="preserve">Hint language overrides auto-detect</t>
  </si>
  <si>
    <t xml:space="preserve">File tiếng Anh, gửi hint_language='vi'</t>
  </si>
  <si>
    <t xml:space="preserve">1. POST với hint_language='vi'
2. Poll</t>
  </si>
  <si>
    <t xml:space="preserve">Engine ưu tiên đọc theo VI; có thể giảm accuracy
detected_language vẫn là 'en' (kết quả thực tế)
needs_review = true</t>
  </si>
  <si>
    <t xml:space="preserve">1.4 Functional — Document type &amp; key-value extraction</t>
  </si>
  <si>
    <t xml:space="preserve">Upload CCCD VN → extract đúng số CCCD, tên, ngày sinh, địa chỉ</t>
  </si>
  <si>
    <t xml:space="preserve">File CCCD chip VN, ảnh rõ nét</t>
  </si>
  <si>
    <t xml:space="preserve">1. POST với hint_doc_type='cccd'
2. Poll</t>
  </si>
  <si>
    <t xml:space="preserve">doc_type_predicted = 'cccd'
extracted_fields có:
- id_number (12 số)
- full_name
- dob (YYYY-MM-DD)
- gender
- nationality
- address
- date_of_issue
Mỗi field có confidence</t>
  </si>
  <si>
    <t xml:space="preserve">Upload Passport → extract đúng MRZ + thông tin</t>
  </si>
  <si>
    <t xml:space="preserve">File passport (US/VN)</t>
  </si>
  <si>
    <t xml:space="preserve">extracted_fields có:
- passport_number
- surname, given_name
- dob, sex
- nationality
- expiry_date
- mrz_line1, mrz_line2</t>
  </si>
  <si>
    <t xml:space="preserve">Upload Giấy phép kinh doanh → extract tên DN, mã số thuế, địa chỉ</t>
  </si>
  <si>
    <t xml:space="preserve">File GPKD VN</t>
  </si>
  <si>
    <t xml:space="preserve">doc_type_predicted = 'business_license'
extracted_fields có:
- company_name
- tax_code (10 số hoặc 13 số)
- address
- legal_representative
- date_of_issue</t>
  </si>
  <si>
    <t xml:space="preserve">Upload hợp đồng (free-form text) → vẫn extract được party + ngày + số tiền</t>
  </si>
  <si>
    <t xml:space="preserve">File hợp đồng PDF</t>
  </si>
  <si>
    <t xml:space="preserve">doc_type_predicted = 'contract'
extracted_fields có ít nhất:
- parties (array of party names)
- contract_date
- amount (nếu có)
Không fail nếu thiếu field</t>
  </si>
  <si>
    <t xml:space="preserve">Upload sao kê ngân hàng → extract số dư, transactions</t>
  </si>
  <si>
    <t xml:space="preserve">File sao kê 1 trang</t>
  </si>
  <si>
    <t xml:space="preserve">extracted_fields có:
- account_number
- account_holder
- balance
- statement_period
- transactions (array)</t>
  </si>
  <si>
    <t xml:space="preserve">Upload ảnh chụp meme (không phải tài liệu)</t>
  </si>
  <si>
    <t xml:space="preserve">File meme.jpg</t>
  </si>
  <si>
    <t xml:space="preserve">Process được
doc_type_predicted = 'unknown' hoặc null
extracted_fields = []
overall_confidence rất thấp (&lt;0.3)
needs_review = true</t>
  </si>
  <si>
    <t xml:space="preserve">Hint sai doc_type so với file thật</t>
  </si>
  <si>
    <t xml:space="preserve">File CCCD, gửi hint_doc_type='passport'</t>
  </si>
  <si>
    <t xml:space="preserve">1. POST với hint sai
2. Poll</t>
  </si>
  <si>
    <t xml:space="preserve">doc_type_predicted = 'cccd' (theo nội dung thực)
Không fail, vẫn extract field theo CCCD</t>
  </si>
  <si>
    <t xml:space="preserve">1.5 Functional — Confidence score &amp; needs review</t>
  </si>
  <si>
    <t xml:space="preserve">File rõ nét, đầy đủ → confidence ≥ 0.9, needs_review = false</t>
  </si>
  <si>
    <t xml:space="preserve">Ảnh CCCD rõ nét</t>
  </si>
  <si>
    <t xml:space="preserve">overall_confidence ≥ 0.9
needs_review = false</t>
  </si>
  <si>
    <t xml:space="preserve">File mờ/blur → confidence thấp, needs_review = true</t>
  </si>
  <si>
    <t xml:space="preserve">Ảnh CCCD mờ, motion blur</t>
  </si>
  <si>
    <t xml:space="preserve">overall_confidence &lt; 0.7
needs_review = true</t>
  </si>
  <si>
    <t xml:space="preserve">File chụp ngược/xiên → engine auto-rotate hoặc cảnh báo</t>
  </si>
  <si>
    <t xml:space="preserve">Ảnh CCCD chụp xoay 180°</t>
  </si>
  <si>
    <t xml:space="preserve">Engine auto-rotate, vẫn extract được
Hoặc fail với needs_review=true</t>
  </si>
  <si>
    <t xml:space="preserve">Mỗi field có confidence riêng</t>
  </si>
  <si>
    <t xml:space="preserve">File CCCD</t>
  </si>
  <si>
    <t xml:space="preserve">1. POST + poll
2. Inspect extracted_fields</t>
  </si>
  <si>
    <t xml:space="preserve">Mỗi item trong extracted_fields có 'confidence' (0.0-1.0)
Field bị che khuất → confidence thấp hơn field rõ</t>
  </si>
  <si>
    <t xml:space="preserve">1.6 Functional — Lịch sử &amp; truy xuất (acceptance KSNB)</t>
  </si>
  <si>
    <t xml:space="preserve">User KSNB xem lại history các job đã upload</t>
  </si>
  <si>
    <t xml:space="preserve">User đã có 5 job trong DB</t>
  </si>
  <si>
    <t xml:space="preserve">1. GET /api/v1/ocr/jobs</t>
  </si>
  <si>
    <t xml:space="preserve">Trả về list 5 job, mới nhất trước
Mỗi item có: job_id, status, submitted_at, doc_type, file.original_name
Không trả raw_text (giảm payload)</t>
  </si>
  <si>
    <t xml:space="preserve">Pagination history</t>
  </si>
  <si>
    <t xml:space="preserve">User có 35 job</t>
  </si>
  <si>
    <t xml:space="preserve">1. GET /api/v1/ocr/jobs?limit=20&amp;page=1
2. GET ...&amp;page=2</t>
  </si>
  <si>
    <t xml:space="preserve">Page 1: 20 items
Page 2: 15 items
Total_count = 35, has_next = false ở page 2</t>
  </si>
  <si>
    <t xml:space="preserve">Filter history theo status</t>
  </si>
  <si>
    <t xml:space="preserve">User có job ở các trạng thái khác nhau</t>
  </si>
  <si>
    <t xml:space="preserve">1. GET /api/v1/ocr/jobs?status=failed</t>
  </si>
  <si>
    <t xml:space="preserve">Chỉ trả job có status=failed</t>
  </si>
  <si>
    <t xml:space="preserve">Filter history theo date range</t>
  </si>
  <si>
    <t xml:space="preserve">User có job từ nhiều ngày</t>
  </si>
  <si>
    <t xml:space="preserve">1. GET /api/v1/ocr/jobs?from=2026-05-01&amp;to=2026-05-08</t>
  </si>
  <si>
    <t xml:space="preserve">Chỉ trả job submitted trong khoảng đó</t>
  </si>
  <si>
    <t xml:space="preserve">Search history theo file name</t>
  </si>
  <si>
    <t xml:space="preserve">User có job với file 'cccd_a.jpg', 'cccd_b.jpg', 'passport.pdf'</t>
  </si>
  <si>
    <t xml:space="preserve">1. GET /api/v1/ocr/jobs?q=cccd</t>
  </si>
  <si>
    <t xml:space="preserve">Trả 2 job có 'cccd' trong tên</t>
  </si>
  <si>
    <t xml:space="preserve">Download lại file gốc đã upload</t>
  </si>
  <si>
    <t xml:space="preserve">Job có status=completed, chưa expire</t>
  </si>
  <si>
    <t xml:space="preserve">1. GET /api/v1/ocr/jobs/{id}/file</t>
  </si>
  <si>
    <t xml:space="preserve">200 với file binary
Content-Type đúng MIME của file gốc
Content-Disposition: attachment với filename gốc</t>
  </si>
  <si>
    <t xml:space="preserve">Download file đã expire (&gt; 90 ngày)</t>
  </si>
  <si>
    <t xml:space="preserve">Job có expires_at &lt; NOW()</t>
  </si>
  <si>
    <t xml:space="preserve">404 'FILE_EXPIRED'
Message: 'File đã hết hạn lưu trữ (90 ngày)'</t>
  </si>
  <si>
    <t xml:space="preserve">Soft delete job</t>
  </si>
  <si>
    <t xml:space="preserve">Job tồn tại</t>
  </si>
  <si>
    <t xml:space="preserve">1. DELETE /api/v1/ocr/jobs/{id}
2. GET /api/v1/ocr/jobs</t>
  </si>
  <si>
    <t xml:space="preserve">DELETE → 204
GET không thấy job đó nữa
DB ocr_jobs.deleted_at được set
File gốc vẫn còn (trong 90d window)</t>
  </si>
  <si>
    <t xml:space="preserve">1.7 Functional — Error handling (BA acceptance: không crash)</t>
  </si>
  <si>
    <t xml:space="preserve">File hỏng (corrupted JPG)</t>
  </si>
  <si>
    <t xml:space="preserve">File JPG bị corrupt header</t>
  </si>
  <si>
    <t xml:space="preserve">Validate ngay POST: 400 'CORRUPTED_FILE'
Hoặc tạo job nhưng status=failed với error_code='FILE_CORRUPT'
Không crash server</t>
  </si>
  <si>
    <t xml:space="preserve">File chứa virus (EICAR test string)</t>
  </si>
  <si>
    <t xml:space="preserve">File EICAR test antivirus</t>
  </si>
  <si>
    <t xml:space="preserve">AV scan reject, 400 'VIRUS_DETECTED'
File không lưu vào storage
Log vào audit_log với action='virus_blocked'</t>
  </si>
  <si>
    <t xml:space="preserve">File password-protected PDF</t>
  </si>
  <si>
    <t xml:space="preserve">PDF có password</t>
  </si>
  <si>
    <t xml:space="preserve">1. POST PDF
2. Poll</t>
  </si>
  <si>
    <t xml:space="preserve">Job fail với error_code='PDF_PASSWORD_PROTECTED'
Message: 'Vui lòng remove password trước khi upload'</t>
  </si>
  <si>
    <t xml:space="preserve">OCR engine timeout</t>
  </si>
  <si>
    <t xml:space="preserve">File phức tạp khiến engine xử lý &gt; timeout</t>
  </si>
  <si>
    <t xml:space="preserve">Sau timeout (vd 5 phút): job status=failed
error_code='PROCESSING_TIMEOUT'
User có thể retry (POST file lại)</t>
  </si>
  <si>
    <t xml:space="preserve">External translation service down → vẫn trả raw_text</t>
  </si>
  <si>
    <t xml:space="preserve">Translation API down
File tiếng Anh</t>
  </si>
  <si>
    <t xml:space="preserve">Job status=completed (partial)
raw_text có
translated_text_vi = null
error trong response: 'TRANSLATION_UNAVAILABLE'
User vẫn thấy raw text</t>
  </si>
  <si>
    <t xml:space="preserve">2.1 API — POST /api/v1/ocr/jobs Authentication</t>
  </si>
  <si>
    <t xml:space="preserve">Không có Authorization header</t>
  </si>
  <si>
    <t xml:space="preserve">Endpoint /api/v1/ocr/jobs</t>
  </si>
  <si>
    <t xml:space="preserve">1. POST không có header Authorization</t>
  </si>
  <si>
    <t xml:space="preserve">401 Unauthorized
response: { error: { code: 'AUTH_REQUIRED' } }
Không xử lý file</t>
  </si>
  <si>
    <t xml:space="preserve">Token sai format</t>
  </si>
  <si>
    <t xml:space="preserve">Header Authorization: 'Bearer invalid_token'</t>
  </si>
  <si>
    <t xml:space="preserve">1. POST với token sai format</t>
  </si>
  <si>
    <t xml:space="preserve">401 'INVALID_TOKEN'</t>
  </si>
  <si>
    <t xml:space="preserve">Token expired</t>
  </si>
  <si>
    <t xml:space="preserve">JWT đã expire</t>
  </si>
  <si>
    <t xml:space="preserve">1. POST với token expired</t>
  </si>
  <si>
    <t xml:space="preserve">401 'TOKEN_EXPIRED'</t>
  </si>
  <si>
    <t xml:space="preserve">Token revoked sau logout</t>
  </si>
  <si>
    <t xml:space="preserve">User đã logout, token cũ</t>
  </si>
  <si>
    <t xml:space="preserve">1. POST với token cũ</t>
  </si>
  <si>
    <t xml:space="preserve">401 'TOKEN_REVOKED'</t>
  </si>
  <si>
    <t xml:space="preserve">User không có role KSNB</t>
  </si>
  <si>
    <t xml:space="preserve">Token user role='customer'</t>
  </si>
  <si>
    <t xml:space="preserve">403 Forbidden 'INSUFFICIENT_ROLE'</t>
  </si>
  <si>
    <t xml:space="preserve">2.2 API — POST validation</t>
  </si>
  <si>
    <t xml:space="preserve">Request thiếu file field</t>
  </si>
  <si>
    <t xml:space="preserve">Multipart không có 'file'</t>
  </si>
  <si>
    <t xml:space="preserve">1. POST không có file</t>
  </si>
  <si>
    <t xml:space="preserve">400 'MISSING_FILE'</t>
  </si>
  <si>
    <t xml:space="preserve">Content-Type không phải multipart</t>
  </si>
  <si>
    <t xml:space="preserve">Content-Type: application/json</t>
  </si>
  <si>
    <t xml:space="preserve">1. POST với JSON body</t>
  </si>
  <si>
    <t xml:space="preserve">415 Unsupported Media Type
'INVALID_CONTENT_TYPE'</t>
  </si>
  <si>
    <t xml:space="preserve">hint_doc_type = invalid value</t>
  </si>
  <si>
    <t xml:space="preserve">File hợp lệ + hint_doc_type='invalid_type'</t>
  </si>
  <si>
    <t xml:space="preserve">400 'INVALID_HINT_DOC_TYPE'
Message: 'Allowed values: cccd, passport, business_license, contract, auto'</t>
  </si>
  <si>
    <t xml:space="preserve">hint_language = invalid value</t>
  </si>
  <si>
    <t xml:space="preserve">hint_language='xx'</t>
  </si>
  <si>
    <t xml:space="preserve">400 'INVALID_HINT_LANGUAGE'</t>
  </si>
  <si>
    <t xml:space="preserve">Multiple file upload trong 1 request</t>
  </si>
  <si>
    <t xml:space="preserve">Multipart có 2 file</t>
  </si>
  <si>
    <t xml:space="preserve">1. POST với 2 file</t>
  </si>
  <si>
    <t xml:space="preserve">[ASSUMPTION] Reject với 400 'MULTIPLE_FILES_NOT_ALLOWED'
Cần BA confirm có cho phép multi không</t>
  </si>
  <si>
    <t xml:space="preserve">2.3 API — GET /api/v1/ocr/jobs/{id} Authorization &amp; IDOR</t>
  </si>
  <si>
    <t xml:space="preserve">User A xem job của user A</t>
  </si>
  <si>
    <t xml:space="preserve">Job 'jobX' thuộc user A</t>
  </si>
  <si>
    <t xml:space="preserve">1. GET /jobs/jobX với token user A</t>
  </si>
  <si>
    <t xml:space="preserve">200 với data đầy đủ</t>
  </si>
  <si>
    <t xml:space="preserve">IDOR: User A xem job của user B</t>
  </si>
  <si>
    <t xml:space="preserve">Job 'jobY' thuộc user B</t>
  </si>
  <si>
    <t xml:space="preserve">1. GET /jobs/jobY với token user A</t>
  </si>
  <si>
    <t xml:space="preserve">404 Not Found (KHÔNG được trả 200)
Không lộ thông tin job tồn tại</t>
  </si>
  <si>
    <t xml:space="preserve">Job ID format sai (không phải UUID)</t>
  </si>
  <si>
    <t xml:space="preserve">ID = '12345'</t>
  </si>
  <si>
    <t xml:space="preserve">1. GET /jobs/12345</t>
  </si>
  <si>
    <t xml:space="preserve">400 'INVALID_JOB_ID'</t>
  </si>
  <si>
    <t xml:space="preserve">Job ID không tồn tại</t>
  </si>
  <si>
    <t xml:space="preserve">UUID hợp lệ nhưng không có trong DB</t>
  </si>
  <si>
    <t xml:space="preserve">1. GET</t>
  </si>
  <si>
    <t xml:space="preserve">404 'JOB_NOT_FOUND'</t>
  </si>
  <si>
    <t xml:space="preserve">Job đã soft delete</t>
  </si>
  <si>
    <t xml:space="preserve">Job có deleted_at != NULL</t>
  </si>
  <si>
    <t xml:space="preserve">404 (treat như không tồn tại)</t>
  </si>
  <si>
    <t xml:space="preserve">2.4 API — Async job lifecycle (state transition)</t>
  </si>
  <si>
    <t xml:space="preserve">Trạng thái sau POST: 'queued' hoặc 'processing'</t>
  </si>
  <si>
    <t xml:space="preserve">Vừa POST file</t>
  </si>
  <si>
    <t xml:space="preserve">1. POST
2. GET ngay lập tức</t>
  </si>
  <si>
    <t xml:space="preserve">status ∈ {'queued', 'processing'}
result = null
completed_at = null</t>
  </si>
  <si>
    <t xml:space="preserve">queued → processing → completed (happy)</t>
  </si>
  <si>
    <t xml:space="preserve">File hợp lệ</t>
  </si>
  <si>
    <t xml:space="preserve">1. POST
2. Poll mỗi 1s</t>
  </si>
  <si>
    <t xml:space="preserve">Trạng thái chuyển: queued → processing → completed
Khi completed: result đầy đủ, completed_at != null</t>
  </si>
  <si>
    <t xml:space="preserve">queued → processing → failed</t>
  </si>
  <si>
    <t xml:space="preserve">File hỏng</t>
  </si>
  <si>
    <t xml:space="preserve">1. POST
2. Poll</t>
  </si>
  <si>
    <t xml:space="preserve">Cuối: status='failed'
error_code != null, error_message rõ ràng
result = null</t>
  </si>
  <si>
    <t xml:space="preserve">Không thể chuyển từ completed → processing (immutable)</t>
  </si>
  <si>
    <t xml:space="preserve">Job completed</t>
  </si>
  <si>
    <t xml:space="preserve">1. Manual trigger reprocess (nếu API có)</t>
  </si>
  <si>
    <t xml:space="preserve">Reprocess tạo job MỚI, không update job cũ
[ASSUMPTION] API không có reprocess endpoint cho v1</t>
  </si>
  <si>
    <t xml:space="preserve">2.5 API — Rate limit &amp; quota</t>
  </si>
  <si>
    <t xml:space="preserve">Rate limit 100 file/giờ — đúng limit</t>
  </si>
  <si>
    <t xml:space="preserve">User đã upload 99 file trong giờ</t>
  </si>
  <si>
    <t xml:space="preserve">1. POST file thứ 100</t>
  </si>
  <si>
    <t xml:space="preserve">Process bình thường</t>
  </si>
  <si>
    <t xml:space="preserve">Rate limit — vượt limit</t>
  </si>
  <si>
    <t xml:space="preserve">User đã upload 100 file trong giờ</t>
  </si>
  <si>
    <t xml:space="preserve">1. POST file thứ 101</t>
  </si>
  <si>
    <t xml:space="preserve">429 Too Many Requests
Header Retry-After: &lt;seconds&gt;
Message: 'Rate limit 100 file/giờ'</t>
  </si>
  <si>
    <t xml:space="preserve">2.6 API — Security</t>
  </si>
  <si>
    <t xml:space="preserve">Mass assignment: gửi field 'user_id' trong request</t>
  </si>
  <si>
    <t xml:space="preserve">User A có token</t>
  </si>
  <si>
    <t xml:space="preserve">1. POST file kèm form field user_id=&lt;user_B_id&gt;</t>
  </si>
  <si>
    <t xml:space="preserve">Server IGNORE field user_id từ request
Job được assign cho user A (theo token), không phải user B
Verify: GET với token A → thấy job; GET với token B → 404</t>
  </si>
  <si>
    <t xml:space="preserve">Path traversal trong filename</t>
  </si>
  <si>
    <t xml:space="preserve">Filename '../../../etc/passwd'</t>
  </si>
  <si>
    <t xml:space="preserve">1. POST với filename độc</t>
  </si>
  <si>
    <t xml:space="preserve">Server sanitize filename trước khi lưu storage
Không tạo file ngoài thư mục cho phép
DB lưu original_name nhưng storage_path là UUID, không từ filename</t>
  </si>
  <si>
    <t xml:space="preserve">XSS trong filename</t>
  </si>
  <si>
    <t xml:space="preserve">Filename '&lt;script&gt;alert(1)&lt;/script&gt;.pdf'</t>
  </si>
  <si>
    <t xml:space="preserve">1. POST
2. GET history</t>
  </si>
  <si>
    <t xml:space="preserve">Filename trong response được encode (return as-is trong JSON OK, nhưng frontend phải escape khi render)
Không thực thi script ở backend</t>
  </si>
  <si>
    <t xml:space="preserve">SSRF: hint_doc_type = URL</t>
  </si>
  <si>
    <t xml:space="preserve">hint_doc_type='http://localhost:8080/admin'</t>
  </si>
  <si>
    <t xml:space="preserve">Validation reject vì không thuộc enum</t>
  </si>
  <si>
    <t xml:space="preserve">CORS: response từ origin không trong whitelist</t>
  </si>
  <si>
    <t xml:space="preserve">Origin: http://evil.com</t>
  </si>
  <si>
    <t xml:space="preserve">1. OPTIONS preflight</t>
  </si>
  <si>
    <t xml:space="preserve">Không có Access-Control-Allow-Origin: * cho endpoint sensitive
Chỉ allow internal portal domain</t>
  </si>
  <si>
    <t xml:space="preserve">2.7 API — Error response schema consistency</t>
  </si>
  <si>
    <t xml:space="preserve">Mọi error response cùng schema</t>
  </si>
  <si>
    <t xml:space="preserve">-</t>
  </si>
  <si>
    <t xml:space="preserve">1. Trigger nhiều loại error (400, 401, 404, 413, 429, 500)
2. Inspect response body</t>
  </si>
  <si>
    <t xml:space="preserve">Tất cả có format:
{ error: { code: '...', message: '...', trace_id: '...' } }
Không có response error nào khác format</t>
  </si>
  <si>
    <t xml:space="preserve">Error message không lộ stack trace</t>
  </si>
  <si>
    <t xml:space="preserve">Trigger 500 internal error</t>
  </si>
  <si>
    <t xml:space="preserve">1. POST file gây 500</t>
  </si>
  <si>
    <t xml:space="preserve">response: { error: { code: 'INTERNAL_ERROR', message: 'Đã có lỗi xảy ra. Liên hệ admin với mã sau', trace_id: '...' } }
KHÔNG có stack trace, file path, SQL, version trong response</t>
  </si>
  <si>
    <t xml:space="preserve">3.1 Database — Schema validation</t>
  </si>
  <si>
    <t xml:space="preserve">Verify bảng ocr_jobs có đúng column + type</t>
  </si>
  <si>
    <t xml:space="preserve">Migration đã chạy</t>
  </si>
  <si>
    <t xml:space="preserve">1. Query: \d+ ocr_jobs (PostgreSQL) hoặc DESCRIBE ocr_jobs</t>
  </si>
  <si>
    <t xml:space="preserve">- id UUID PK
- user_id UUID NOT NULL FK to users
- status VARCHAR(20) NOT NULL DEFAULT 'queued' CHECK enum
- submitted_at TIMESTAMPTZ NOT NULL DEFAULT NOW()
- completed_at TIMESTAMPTZ NULL
- expires_at TIMESTAMPTZ NOT NULL
- deleted_at TIMESTAMPTZ NULL</t>
  </si>
  <si>
    <t xml:space="preserve">Verify index trên ocr_jobs</t>
  </si>
  <si>
    <t xml:space="preserve">Migration done</t>
  </si>
  <si>
    <t xml:space="preserve">1. Query: \di ocr_jobs</t>
  </si>
  <si>
    <t xml:space="preserve">- idx_jobs_user_status (partial: deleted_at IS NULL)
- idx_jobs_submitted</t>
  </si>
  <si>
    <t xml:space="preserve">Verify FK ocr_files.job_id → ocr_jobs.id ON DELETE CASCADE</t>
  </si>
  <si>
    <t xml:space="preserve">1. Inspect FK constraint</t>
  </si>
  <si>
    <t xml:space="preserve">ON DELETE CASCADE</t>
  </si>
  <si>
    <t xml:space="preserve">Verify CHECK constraint size_bytes ≤ 20MB</t>
  </si>
  <si>
    <t xml:space="preserve">1. Inspect ocr_files constraints</t>
  </si>
  <si>
    <t xml:space="preserve">CHECK (size_bytes &gt; 0 AND size_bytes &lt;= 20971520)</t>
  </si>
  <si>
    <t xml:space="preserve">Verify CHECK confidence ∈ [0,1]</t>
  </si>
  <si>
    <t xml:space="preserve">1. Inspect ocr_results, ocr_extracted_fields</t>
  </si>
  <si>
    <t xml:space="preserve">CHECK (overall_confidence &gt;= 0 AND &lt;= 1)
CHECK (confidence &gt;= 0 AND &lt;= 1)</t>
  </si>
  <si>
    <t xml:space="preserve">3.2 Database — INSERT constraint enforcement</t>
  </si>
  <si>
    <t xml:space="preserve">INSERT job với user_id NULL → fail</t>
  </si>
  <si>
    <t xml:space="preserve">1. INSERT INTO ocr_jobs (user_id, status) VALUES (NULL, 'queued')</t>
  </si>
  <si>
    <t xml:space="preserve">Error: NOT NULL violation</t>
  </si>
  <si>
    <t xml:space="preserve">INSERT job với status không thuộc enum → fail</t>
  </si>
  <si>
    <t xml:space="preserve">1. INSERT ... status='invalid_status'</t>
  </si>
  <si>
    <t xml:space="preserve">CHECK constraint violation</t>
  </si>
  <si>
    <t xml:space="preserve">INSERT file với size_bytes = 0 → fail</t>
  </si>
  <si>
    <t xml:space="preserve">1. INSERT ocr_files với size_bytes=0</t>
  </si>
  <si>
    <t xml:space="preserve">CHECK violation (&gt; 0)</t>
  </si>
  <si>
    <t xml:space="preserve">INSERT file với size_bytes = 20971521 (vượt 20MB) → fail</t>
  </si>
  <si>
    <t xml:space="preserve">1. INSERT size_bytes=20971521</t>
  </si>
  <si>
    <t xml:space="preserve">CHECK violation</t>
  </si>
  <si>
    <t xml:space="preserve">INSERT result với overall_confidence = 1.5 → fail</t>
  </si>
  <si>
    <t xml:space="preserve">1. INSERT confidence=1.5</t>
  </si>
  <si>
    <t xml:space="preserve">CHECK violation (≤ 1)</t>
  </si>
  <si>
    <t xml:space="preserve">INSERT file với job_id không tồn tại → fail</t>
  </si>
  <si>
    <t xml:space="preserve">1. INSERT ocr_files với job_id=fake_uuid</t>
  </si>
  <si>
    <t xml:space="preserve">FK violation</t>
  </si>
  <si>
    <t xml:space="preserve">Default status = 'queued' khi không gửi</t>
  </si>
  <si>
    <t xml:space="preserve">1. INSERT ocr_jobs chỉ có user_id</t>
  </si>
  <si>
    <t xml:space="preserve">status auto = 'queued'
submitted_at = NOW()
expires_at = NOW() + 90 days</t>
  </si>
  <si>
    <t xml:space="preserve">3.3 Database — CASCADE delete &amp; soft delete</t>
  </si>
  <si>
    <t xml:space="preserve">DELETE ocr_jobs → ocr_files, ocr_results, ocr_extracted_fields cascade</t>
  </si>
  <si>
    <t xml:space="preserve">Job có file + result + 5 extracted_field</t>
  </si>
  <si>
    <t xml:space="preserve">1. DELETE FROM ocr_jobs WHERE id=...
2. SELECT từ các bảng con</t>
  </si>
  <si>
    <t xml:space="preserve">Files, results, fields đều bị xóa
Audit log không bị xóa (giữ history)</t>
  </si>
  <si>
    <t xml:space="preserve">Soft delete job — không cascade</t>
  </si>
  <si>
    <t xml:space="preserve">Job có file + result</t>
  </si>
  <si>
    <t xml:space="preserve">1. UPDATE ocr_jobs SET deleted_at=NOW() WHERE id=...
2. SELECT từ ocr_files, ocr_results</t>
  </si>
  <si>
    <t xml:space="preserve">Files, results VẪN còn (soft delete chỉ ảnh hưởng query mặc định)
Query có WHERE deleted_at IS NULL → không thấy job
File gốc vẫn còn trong storage cho đến hard delete (90d)</t>
  </si>
  <si>
    <t xml:space="preserve">3.4 Database — Data type &amp; encoding</t>
  </si>
  <si>
    <t xml:space="preserve">Lưu raw_text tiếng Việt có dấu</t>
  </si>
  <si>
    <t xml:space="preserve">DB charset utf8mb4 hoặc UTF-8</t>
  </si>
  <si>
    <t xml:space="preserve">1. INSERT raw_text='Nguyễn Văn Sơn'
2. SELECT</t>
  </si>
  <si>
    <t xml:space="preserve">Trả về đúng 'Nguyễn Văn Sơn', không bị '?'</t>
  </si>
  <si>
    <t xml:space="preserve">Lưu raw_text tiếng Trung</t>
  </si>
  <si>
    <r>
      <rPr>
        <sz val="10"/>
        <rFont val="Arial"/>
        <family val="0"/>
        <charset val="1"/>
      </rPr>
      <t xml:space="preserve">1. INSERT raw_text='</t>
    </r>
    <r>
      <rPr>
        <sz val="10"/>
        <rFont val="Noto Sans CJK SC"/>
        <family val="2"/>
      </rPr>
      <t xml:space="preserve">你好世界</t>
    </r>
    <r>
      <rPr>
        <sz val="10"/>
        <rFont val="Arial"/>
        <family val="0"/>
        <charset val="1"/>
      </rPr>
      <t xml:space="preserve">'
2. SELECT</t>
    </r>
  </si>
  <si>
    <t xml:space="preserve">Đúng tiếng Trung</t>
  </si>
  <si>
    <t xml:space="preserve">Lưu raw_text có emoji</t>
  </si>
  <si>
    <t xml:space="preserve">DB utf8mb4</t>
  </si>
  <si>
    <t xml:space="preserve">1. INSERT raw_text chứa emoji 🎉</t>
  </si>
  <si>
    <t xml:space="preserve">Lưu thành công, đọc ra đúng emoji</t>
  </si>
  <si>
    <t xml:space="preserve">Lưu raw_text rất dài (10MB)</t>
  </si>
  <si>
    <t xml:space="preserve">1. INSERT raw_text 10MB text</t>
  </si>
  <si>
    <t xml:space="preserve">Nếu column TEXT (PG): OK
Nếu MySQL TEXT (64KB): cần dùng LONGTEXT (4GB)</t>
  </si>
  <si>
    <t xml:space="preserve">Lưu confidence với precision 3 chữ số thập phân</t>
  </si>
  <si>
    <t xml:space="preserve">DECIMAL(4,3)</t>
  </si>
  <si>
    <t xml:space="preserve">1. INSERT confidence=0.9876
2. SELECT</t>
  </si>
  <si>
    <t xml:space="preserve">Trả về 0.988 (round to 3 decimal)</t>
  </si>
  <si>
    <t xml:space="preserve">Timestamp lưu UTC, query theo timezone client</t>
  </si>
  <si>
    <t xml:space="preserve">Server timezone = UTC, client GMT+7</t>
  </si>
  <si>
    <t xml:space="preserve">1. INSERT submitted_at với client time '2026-05-09 10:00:00+07'
2. SELECT cùng client</t>
  </si>
  <si>
    <t xml:space="preserve">DB lưu '2026-05-09 03:00:00 UTC'
Client đọc lại: '2026-05-09 10:00:00 +07'</t>
  </si>
  <si>
    <t xml:space="preserve">3.5 Database — Concurrency &amp; atomicity</t>
  </si>
  <si>
    <t xml:space="preserve">2 worker cùng pick 1 job 'queued' — chỉ 1 thắng</t>
  </si>
  <si>
    <t xml:space="preserve">1 job queued</t>
  </si>
  <si>
    <t xml:space="preserve">1. Worker 1: SELECT FOR UPDATE SKIP LOCKED
2. Worker 2: cùng query đồng thời</t>
  </si>
  <si>
    <t xml:space="preserve">Worker 1 lấy được job, update status='processing'
Worker 2 không pick được (skip locked)
Không có race condition</t>
  </si>
  <si>
    <t xml:space="preserve">Transaction rollback khi insert result fail</t>
  </si>
  <si>
    <t xml:space="preserve">1. BEGIN
2. UPDATE job SET status='completed'
3. INSERT result với confidence=2 (CHECK fail)
4. ROLLBACK</t>
  </si>
  <si>
    <t xml:space="preserve">Job status quay về 'processing'
Result không có
Không có inconsistent state</t>
  </si>
  <si>
    <t xml:space="preserve">3.6 Database — Audit log &amp; data integrity</t>
  </si>
  <si>
    <t xml:space="preserve">Mỗi POST job → có record trong audit_log</t>
  </si>
  <si>
    <t xml:space="preserve">1. POST 5 file
2. SELECT COUNT(*) FROM ocr_audit_log WHERE action='submit'</t>
  </si>
  <si>
    <t xml:space="preserve">Count = 5
Mỗi record có user_id, ip_address, created_at</t>
  </si>
  <si>
    <t xml:space="preserve">Soft-deleted job vẫn có audit history</t>
  </si>
  <si>
    <t xml:space="preserve">Job đã DELETE</t>
  </si>
  <si>
    <t xml:space="preserve">1. SELECT FROM audit_log WHERE job_id=&lt;deleted_job_id&gt;</t>
  </si>
  <si>
    <t xml:space="preserve">Audit còn nguyên (action='submit' + 'delete')</t>
  </si>
  <si>
    <t xml:space="preserve">Integrity query: mọi result phải link đến job tồn tại</t>
  </si>
  <si>
    <t xml:space="preserve">1. SELECT r.* FROM ocr_results r LEFT JOIN ocr_jobs j ON r.job_id=j.id WHERE j.id IS NULL</t>
  </si>
  <si>
    <t xml:space="preserve">0 row (no orphan)</t>
  </si>
  <si>
    <t xml:space="preserve">Integrity: mọi extracted_field link đến result tồn tại</t>
  </si>
  <si>
    <t xml:space="preserve">1. Query orphan extracted_fields</t>
  </si>
  <si>
    <t xml:space="preserve">0 row</t>
  </si>
  <si>
    <t xml:space="preserve">PII encryption at rest: storage_path không lộ raw filename</t>
  </si>
  <si>
    <t xml:space="preserve">File 'cccd_user_real_name.jpg' uploaded</t>
  </si>
  <si>
    <t xml:space="preserve">1. SELECT storage_path FROM ocr_files</t>
  </si>
  <si>
    <t xml:space="preserve">storage_path là UUID hoặc hashed path
Không chứa raw filename của user</t>
  </si>
  <si>
    <t xml:space="preserve">3.7 Database — Retention &amp; cleanup job</t>
  </si>
  <si>
    <t xml:space="preserve">Job có expires_at &lt; NOW() → được job cleanup hard delete</t>
  </si>
  <si>
    <t xml:space="preserve">Job có expires_at = '2026-02-01' (90+ days ago)</t>
  </si>
  <si>
    <t xml:space="preserve">1. Run cleanup job
2. SELECT FROM ocr_jobs WHERE id=...</t>
  </si>
  <si>
    <t xml:space="preserve">Job bị hard delete
File trong storage bị xóa
Audit log GIỮ LẠI (compliance)</t>
  </si>
  <si>
    <t xml:space="preserve">Cleanup job idempotent</t>
  </si>
  <si>
    <t xml:space="preserve">1. Run cleanup job 2 lần</t>
  </si>
  <si>
    <t xml:space="preserve">Lần 2 không lỗi, không xóa thêm gì
Result giống lần 1</t>
  </si>
  <si>
    <t xml:space="preserve">Cleanup job có log progress</t>
  </si>
  <si>
    <t xml:space="preserve">1. Run cleanup khi có 10000 expired job</t>
  </si>
  <si>
    <t xml:space="preserve">Log: 'Cleaned X jobs', không silent fail giữa chừng</t>
  </si>
  <si>
    <t xml:space="preserve">4.1 E2E — Happy flow</t>
  </si>
  <si>
    <t xml:space="preserve">Full flow: KSNB upload CCCD → poll → xem kết quả → download file</t>
  </si>
  <si>
    <t xml:space="preserve">User KSNB login Postman với JWT
File cccd_real.jpg sẵn</t>
  </si>
  <si>
    <t xml:space="preserve">1. POST /api/v1/ocr/jobs với file
2. Lấy job_id
3. Poll GET /jobs/{id} mỗi 2s
4. Khi status=completed, đọc result
5. GET /jobs/{id}/file → download file gốc
6. GET /jobs → thấy job trong list</t>
  </si>
  <si>
    <t xml:space="preserve">- Step 1: 202 trong &lt; 1s
- Step 3-4: completed trong &lt; 30s
- Step 4: extracted_fields có ≥ 5 field, overall_confidence &gt; 0.8
- Step 5: file gốc download đúng
- Step 6: job xuất hiện ở top list
- DB: ocr_jobs, ocr_files, ocr_results, ocr_extracted_fields, ocr_audit_log đều có record nhất quán</t>
  </si>
  <si>
    <t xml:space="preserve">4.2 E2E — Multi-document workflow</t>
  </si>
  <si>
    <t xml:space="preserve">Upload tuần tự: CCCD + Passport + GPKD → tất cả thành công</t>
  </si>
  <si>
    <t xml:space="preserve">3 file khác loại</t>
  </si>
  <si>
    <t xml:space="preserve">1. POST 3 file
2. Poll cả 3 đến completed
3. So sánh doc_type_predicted</t>
  </si>
  <si>
    <t xml:space="preserve">3 job độc lập
doc_type_predicted khác nhau
extracted_fields khác nhau theo doc type</t>
  </si>
  <si>
    <t xml:space="preserve">Upload song song 5 file → engine xử lý concurrent</t>
  </si>
  <si>
    <t xml:space="preserve">5 file</t>
  </si>
  <si>
    <t xml:space="preserve">1. POST 5 file đồng thời</t>
  </si>
  <si>
    <t xml:space="preserve">5 job tạo độc lập, không collision
Worker xử lý song song theo concurrency limit
Không job nào bị skip</t>
  </si>
  <si>
    <t xml:space="preserve">4.3 E2E — Multi-language</t>
  </si>
  <si>
    <t xml:space="preserve">Hợp đồng EN → result có raw_text + translated_text_vi đều rõ ràng</t>
  </si>
  <si>
    <t xml:space="preserve">File contract.pdf tiếng Anh</t>
  </si>
  <si>
    <t xml:space="preserve">1. POST + poll completed</t>
  </si>
  <si>
    <t xml:space="preserve">raw_text khớp text gốc EN
translated_text_vi đọc được tiếng Việt
Key-value extracted (party, amount, date) bằng VI hoặc kèm cả EN</t>
  </si>
  <si>
    <t xml:space="preserve">Tài liệu ZH → KSNB không biết tiếng Trung vẫn hiểu nhờ bản dịch</t>
  </si>
  <si>
    <t xml:space="preserve">File giấy tờ tiếng Trung</t>
  </si>
  <si>
    <t xml:space="preserve">1. POST + poll
2. KSNB đọc translated_text_vi</t>
  </si>
  <si>
    <t xml:space="preserve">translated_text_vi đủ thông tin để KSNB ra quyết định nghiệp vụ</t>
  </si>
  <si>
    <t xml:space="preserve">4.4 E2E — Failure &amp; recovery</t>
  </si>
  <si>
    <t xml:space="preserve">OCR engine crash giữa chừng → job marked failed, có thể retry</t>
  </si>
  <si>
    <t xml:space="preserve">Mock engine crash</t>
  </si>
  <si>
    <t xml:space="preserve">1. POST file
2. Engine crash khi đang process
3. Worker phát hiện timeout
4. KSNB POST lại file</t>
  </si>
  <si>
    <t xml:space="preserve">Job 1 status=failed với error_code
Job 2 mới (do POST lại) → process bình thường
DB: 2 job riêng biệt, không bị stuck</t>
  </si>
  <si>
    <t xml:space="preserve">Network drop khi đang upload — partial upload không tạo job</t>
  </si>
  <si>
    <t xml:space="preserve">File 15MB, network drop ở 50%</t>
  </si>
  <si>
    <t xml:space="preserve">1. POST file, ngắt network
2. GET history</t>
  </si>
  <si>
    <t xml:space="preserve">Không có job nào được tạo
Không có file partial trong storage
Client nhận network error, có thể retry</t>
  </si>
  <si>
    <t xml:space="preserve">DB down khi đang xử lý — recovery sau khi DB up</t>
  </si>
  <si>
    <t xml:space="preserve">Mock DB down 30s</t>
  </si>
  <si>
    <t xml:space="preserve">1. POST file
2. DB down
3. Worker không update được status
4. DB up trở lại</t>
  </si>
  <si>
    <t xml:space="preserve">Worker retry update với backoff
Không có data inconsistent
Job cuối cùng có status đúng</t>
  </si>
  <si>
    <t xml:space="preserve">4.5 E2E — Acceptance Criteria của KSNB (test theo BA)</t>
  </si>
  <si>
    <t xml:space="preserve">AC: KSNB tự test qua Postman được</t>
  </si>
  <si>
    <t xml:space="preserve">Postman collection import từ OpenAPI</t>
  </si>
  <si>
    <t xml:space="preserve">1. Mở Postman
2. Import OpenAPI
3. Set token
4. Run collection</t>
  </si>
  <si>
    <t xml:space="preserve">Postman có sẵn các example request
KSNB không cần dev support, chạy được</t>
  </si>
  <si>
    <t xml:space="preserve">AC: Swagger UI hoạt động, có thể try-it-out</t>
  </si>
  <si>
    <t xml:space="preserve">Swagger UI deployed</t>
  </si>
  <si>
    <t xml:space="preserve">1. Mở /swagger
2. Authorize với token
3. Try endpoint POST /jobs</t>
  </si>
  <si>
    <t xml:space="preserve">Upload được file qua Swagger UI
Result hiển thị đúng</t>
  </si>
  <si>
    <t xml:space="preserve">AC: KSNB test với 5 loại tài liệu thật → tất cả hoạt động</t>
  </si>
  <si>
    <t xml:space="preserve">5 file: CCCD, passport VN, passport EN, GPKD, hợp đồng EN</t>
  </si>
  <si>
    <t xml:space="preserve">1. KSNB upload từng file qua Postman/Swagger</t>
  </si>
  <si>
    <t xml:space="preserve">5 file đều process được, không bị 'fix 1 loại'
Result đủ thông tin nghiệp vụ
Với EN, có bản dịch dùng được</t>
  </si>
  <si>
    <t xml:space="preserve">AC: Lịch sử test trước truy xuất được</t>
  </si>
  <si>
    <t xml:space="preserve">Đã có 10 lần test trước</t>
  </si>
  <si>
    <t xml:space="preserve">1. GET /jobs sau 1 ngày</t>
  </si>
  <si>
    <t xml:space="preserve">Vẫn thấy đủ 10 job lịch sử (chưa expire)
Click xem từng job → vẫn có result
Download file gốc → OK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</si>
</sst>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</fonts>
  <fills count="16">
    <fill>
      <patternFill patternType="none"/>
    </fill>
    <fill>
      <patternFill patternType="gray125"/>
    </fill>
    <fill>
      <patternFill patternType="solid">
        <fgColor rgb="FFB4C6E7"/>
        <bgColor rgb="FFB8CCE4"/>
      </patternFill>
    </fill>
    <fill>
      <patternFill patternType="solid">
        <fgColor rgb="FF5BC95E"/>
        <bgColor rgb="FF339966"/>
      </patternFill>
    </fill>
    <fill>
      <patternFill patternType="solid">
        <fgColor rgb="FFF7CAAC"/>
        <bgColor rgb="FFFBD4B4"/>
      </patternFill>
    </fill>
    <fill>
      <patternFill patternType="solid">
        <fgColor rgb="FFD8D8D8"/>
        <bgColor rgb="FFCFE2F3"/>
      </patternFill>
    </fill>
    <fill>
      <patternFill patternType="solid">
        <fgColor rgb="FFC2D69B"/>
        <bgColor rgb="FFBFBFBF"/>
      </patternFill>
    </fill>
    <fill>
      <patternFill patternType="solid">
        <fgColor rgb="FFFBD4B4"/>
        <bgColor rgb="FFF7CAAC"/>
      </patternFill>
    </fill>
    <fill>
      <patternFill patternType="solid">
        <fgColor rgb="FFB2A1C7"/>
        <bgColor rgb="FF999999"/>
      </patternFill>
    </fill>
    <fill>
      <patternFill patternType="solid">
        <fgColor rgb="FFBFBFBF"/>
        <bgColor rgb="FFB4C6E7"/>
      </patternFill>
    </fill>
    <fill>
      <patternFill patternType="solid">
        <fgColor rgb="FFB8CCE4"/>
        <bgColor rgb="FFB4C6E7"/>
      </patternFill>
    </fill>
    <fill>
      <patternFill patternType="solid">
        <fgColor rgb="FFFFCC66"/>
        <bgColor rgb="FFF7CAAC"/>
      </patternFill>
    </fill>
    <fill>
      <patternFill patternType="solid">
        <fgColor rgb="FFCFE2F3"/>
        <bgColor rgb="FFD8D8D8"/>
      </patternFill>
    </fill>
    <fill>
      <patternFill patternType="solid">
        <fgColor rgb="FFF4CCCC"/>
        <bgColor rgb="FFFBD4B4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CF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A1C7"/>
      <rgbColor rgb="FF993366"/>
      <rgbColor rgb="FFFFF2CC"/>
      <rgbColor rgb="FFCFE2F3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8D8"/>
      <rgbColor rgb="FFD9EAD3"/>
      <rgbColor rgb="FFFBD4B4"/>
      <rgbColor rgb="FFB4C6E7"/>
      <rgbColor rgb="FFF4CCCC"/>
      <rgbColor rgb="FFCC99FF"/>
      <rgbColor rgb="FFF7CAAC"/>
      <rgbColor rgb="FF3366FF"/>
      <rgbColor rgb="FF5BC95E"/>
      <rgbColor rgb="FFC2D69B"/>
      <rgbColor rgb="FFFFCC66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25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25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25"/>
  </cols>
  <sheetData>
    <row r="1" customFormat="false" ht="19.5" hidden="false" customHeight="true" outlineLevel="0" collapsed="false"/>
    <row r="2" customFormat="false" ht="21.75" hidden="false" customHeight="true" outlineLevel="0" collapsed="false">
      <c r="A2" s="1" t="s">
        <v>0</v>
      </c>
      <c r="B2" s="2" t="s">
        <v>1</v>
      </c>
      <c r="G2" s="3" t="s">
        <v>2</v>
      </c>
      <c r="H2" s="3"/>
      <c r="I2" s="3"/>
      <c r="J2" s="3"/>
      <c r="K2" s="3"/>
      <c r="L2" s="4" t="s">
        <v>3</v>
      </c>
      <c r="M2" s="4"/>
      <c r="N2" s="4"/>
      <c r="O2" s="4"/>
      <c r="P2" s="4"/>
      <c r="Q2" s="5" t="s">
        <v>4</v>
      </c>
      <c r="R2" s="5"/>
      <c r="S2" s="5"/>
      <c r="T2" s="5"/>
      <c r="U2" s="5"/>
    </row>
    <row r="3" customFormat="false" ht="21" hidden="false" customHeight="true" outlineLevel="0" collapsed="false">
      <c r="A3" s="6" t="s">
        <v>5</v>
      </c>
      <c r="B3" s="2" t="n">
        <f aca="false">COUNTIF(E8:E1865,"&lt;&gt;")</f>
        <v>119</v>
      </c>
      <c r="C3" s="1" t="s">
        <v>6</v>
      </c>
      <c r="D3" s="7" t="n">
        <f aca="false">IFERROR(B3/B4,0)</f>
        <v>0</v>
      </c>
      <c r="G3" s="8" t="s">
        <v>7</v>
      </c>
      <c r="H3" s="9" t="s">
        <v>8</v>
      </c>
      <c r="I3" s="10" t="s">
        <v>9</v>
      </c>
      <c r="J3" s="11" t="s">
        <v>10</v>
      </c>
      <c r="K3" s="12" t="s">
        <v>11</v>
      </c>
      <c r="L3" s="8" t="s">
        <v>7</v>
      </c>
      <c r="M3" s="9" t="s">
        <v>8</v>
      </c>
      <c r="N3" s="10" t="s">
        <v>9</v>
      </c>
      <c r="O3" s="11" t="s">
        <v>10</v>
      </c>
      <c r="P3" s="12" t="s">
        <v>11</v>
      </c>
      <c r="Q3" s="8" t="s">
        <v>7</v>
      </c>
      <c r="R3" s="9" t="s">
        <v>8</v>
      </c>
      <c r="S3" s="10" t="s">
        <v>9</v>
      </c>
      <c r="T3" s="11" t="s">
        <v>10</v>
      </c>
      <c r="U3" s="12" t="s">
        <v>11</v>
      </c>
    </row>
    <row r="4" customFormat="false" ht="33.75" hidden="false" customHeight="true" outlineLevel="0" collapsed="false">
      <c r="A4" s="6" t="s">
        <v>12</v>
      </c>
      <c r="B4" s="2" t="n">
        <f aca="false">K4+P4</f>
        <v>0</v>
      </c>
      <c r="C4" s="1" t="s">
        <v>13</v>
      </c>
      <c r="D4" s="2" t="s">
        <v>14</v>
      </c>
      <c r="G4" s="13" t="n">
        <f aca="false">COUNTIFS($G$6:$G$1406,"Pass")</f>
        <v>0</v>
      </c>
      <c r="H4" s="13" t="n">
        <f aca="false">COUNTIFS($G$6:$G$1406,"Fail")</f>
        <v>0</v>
      </c>
      <c r="I4" s="13" t="n">
        <f aca="false">COUNTIFS($G$6:$G$1406,"Impact")</f>
        <v>0</v>
      </c>
      <c r="J4" s="13" t="n">
        <f aca="false">COUNTIFS($G$6:$G$1406,"Not Run")</f>
        <v>0</v>
      </c>
      <c r="K4" s="13" t="n">
        <f aca="false">SUM(G4:J4)</f>
        <v>0</v>
      </c>
      <c r="L4" s="13" t="n">
        <f aca="false">COUNTIFS($L$6:$L$1406,"Pass")</f>
        <v>0</v>
      </c>
      <c r="M4" s="13" t="n">
        <f aca="false">COUNTIFS($L$6:$L$1406,"Fail")</f>
        <v>0</v>
      </c>
      <c r="N4" s="13" t="n">
        <f aca="false">COUNTIFS($L$6:$L$1406,"Impact")</f>
        <v>0</v>
      </c>
      <c r="O4" s="13" t="n">
        <f aca="false">COUNTIFS($L$6:$L$1406,"Not Run")</f>
        <v>0</v>
      </c>
      <c r="P4" s="13" t="n">
        <f aca="false">SUM(L4:O4)</f>
        <v>0</v>
      </c>
      <c r="Q4" s="13" t="n">
        <f aca="false">COUNTIFS($Q$6:$Q$1406,"Pass")</f>
        <v>0</v>
      </c>
      <c r="R4" s="13" t="n">
        <f aca="false">COUNTIFS($Q$6:$Q$1406,"Fail")</f>
        <v>0</v>
      </c>
      <c r="S4" s="13" t="n">
        <f aca="false">COUNTIFS($Q$6:$Q$1406,"Impact")</f>
        <v>0</v>
      </c>
      <c r="T4" s="13" t="n">
        <f aca="false">COUNTIFS($Q$6:$Q$1406,"Not Run")</f>
        <v>0</v>
      </c>
      <c r="U4" s="13" t="n">
        <f aca="false">SUM(Q4:T4)</f>
        <v>0</v>
      </c>
    </row>
    <row r="5" customFormat="false" ht="15.75" hidden="false" customHeight="true" outlineLevel="0" collapsed="false"/>
    <row r="6" customFormat="false" ht="21.75" hidden="false" customHeight="true" outlineLevel="0" collapsed="false">
      <c r="A6" s="14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14" t="s">
        <v>20</v>
      </c>
      <c r="G6" s="15" t="s">
        <v>2</v>
      </c>
      <c r="H6" s="15"/>
      <c r="I6" s="15"/>
      <c r="J6" s="15"/>
      <c r="K6" s="15"/>
      <c r="L6" s="16" t="s">
        <v>3</v>
      </c>
      <c r="M6" s="16"/>
      <c r="N6" s="16"/>
      <c r="O6" s="16"/>
      <c r="P6" s="16"/>
      <c r="Q6" s="17" t="s">
        <v>4</v>
      </c>
      <c r="R6" s="17"/>
      <c r="S6" s="17"/>
      <c r="T6" s="17"/>
      <c r="U6" s="17"/>
    </row>
    <row r="7" customFormat="false" ht="21.75" hidden="false" customHeight="true" outlineLevel="0" collapsed="false">
      <c r="A7" s="14"/>
      <c r="B7" s="14"/>
      <c r="C7" s="14"/>
      <c r="D7" s="14"/>
      <c r="E7" s="14"/>
      <c r="F7" s="14"/>
      <c r="G7" s="18" t="s">
        <v>21</v>
      </c>
      <c r="H7" s="18" t="s">
        <v>22</v>
      </c>
      <c r="I7" s="18" t="s">
        <v>23</v>
      </c>
      <c r="J7" s="18" t="s">
        <v>24</v>
      </c>
      <c r="K7" s="18" t="s">
        <v>25</v>
      </c>
      <c r="L7" s="19" t="s">
        <v>21</v>
      </c>
      <c r="M7" s="19" t="s">
        <v>22</v>
      </c>
      <c r="N7" s="19" t="s">
        <v>23</v>
      </c>
      <c r="O7" s="19" t="s">
        <v>24</v>
      </c>
      <c r="P7" s="19" t="s">
        <v>25</v>
      </c>
      <c r="Q7" s="20" t="s">
        <v>21</v>
      </c>
      <c r="R7" s="20" t="s">
        <v>22</v>
      </c>
      <c r="S7" s="20" t="s">
        <v>23</v>
      </c>
      <c r="T7" s="20" t="s">
        <v>24</v>
      </c>
      <c r="U7" s="20" t="s">
        <v>25</v>
      </c>
    </row>
    <row r="8" customFormat="false" ht="21.75" hidden="false" customHeight="true" outlineLevel="0" collapsed="false">
      <c r="A8" s="21" t="s">
        <v>26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customFormat="false" ht="79.5" hidden="false" customHeight="true" outlineLevel="0" collapsed="false">
      <c r="A9" s="22" t="str">
        <f aca="false">IF(OR(D9&lt;&gt;"",E9&lt;&gt;""),"["&amp;$B$2&amp;"-"&amp;TEXT(ROW()-7-COUNTBLANK($E$8:E9),"##")&amp;"]","")</f>
        <v>[OCR-1]</v>
      </c>
      <c r="B9" s="23" t="s">
        <v>27</v>
      </c>
      <c r="C9" s="23" t="s">
        <v>28</v>
      </c>
      <c r="D9" s="23" t="s">
        <v>29</v>
      </c>
      <c r="E9" s="23" t="s">
        <v>30</v>
      </c>
      <c r="F9" s="24" t="s">
        <v>31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customFormat="false" ht="31.5" hidden="false" customHeight="true" outlineLevel="0" collapsed="false">
      <c r="A10" s="22" t="str">
        <f aca="false">IF(OR(D10&lt;&gt;"",E10&lt;&gt;""),"["&amp;$B$2&amp;"-"&amp;TEXT(ROW()-7-COUNTBLANK($E$8:E10),"##")&amp;"]","")</f>
        <v>[OCR-2]</v>
      </c>
      <c r="B10" s="23" t="s">
        <v>32</v>
      </c>
      <c r="C10" s="23" t="s">
        <v>33</v>
      </c>
      <c r="D10" s="23" t="s">
        <v>34</v>
      </c>
      <c r="E10" s="23" t="s">
        <v>35</v>
      </c>
      <c r="F10" s="24" t="s">
        <v>31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customFormat="false" ht="31.5" hidden="false" customHeight="true" outlineLevel="0" collapsed="false">
      <c r="A11" s="22" t="str">
        <f aca="false">IF(OR(D11&lt;&gt;"",E11&lt;&gt;""),"["&amp;$B$2&amp;"-"&amp;TEXT(ROW()-7-COUNTBLANK($E$8:E11),"##")&amp;"]","")</f>
        <v>[OCR-3]</v>
      </c>
      <c r="B11" s="23" t="s">
        <v>36</v>
      </c>
      <c r="C11" s="23" t="s">
        <v>37</v>
      </c>
      <c r="D11" s="23" t="s">
        <v>38</v>
      </c>
      <c r="E11" s="23" t="s">
        <v>39</v>
      </c>
      <c r="F11" s="24" t="s">
        <v>31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customFormat="false" ht="31.5" hidden="false" customHeight="true" outlineLevel="0" collapsed="false">
      <c r="A12" s="22" t="str">
        <f aca="false">IF(OR(D12&lt;&gt;"",E12&lt;&gt;""),"["&amp;$B$2&amp;"-"&amp;TEXT(ROW()-7-COUNTBLANK($E$8:E12),"##")&amp;"]","")</f>
        <v>[OCR-4]</v>
      </c>
      <c r="B12" s="23" t="s">
        <v>40</v>
      </c>
      <c r="C12" s="23" t="s">
        <v>41</v>
      </c>
      <c r="D12" s="23" t="s">
        <v>38</v>
      </c>
      <c r="E12" s="23" t="s">
        <v>42</v>
      </c>
      <c r="F12" s="24" t="s">
        <v>31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customFormat="false" ht="31.5" hidden="false" customHeight="true" outlineLevel="0" collapsed="false">
      <c r="A13" s="22" t="str">
        <f aca="false">IF(OR(D13&lt;&gt;"",E13&lt;&gt;""),"["&amp;$B$2&amp;"-"&amp;TEXT(ROW()-7-COUNTBLANK($E$8:E13),"##")&amp;"]","")</f>
        <v>[OCR-5]</v>
      </c>
      <c r="B13" s="23" t="s">
        <v>43</v>
      </c>
      <c r="C13" s="23" t="s">
        <v>44</v>
      </c>
      <c r="D13" s="23" t="s">
        <v>38</v>
      </c>
      <c r="E13" s="23" t="s">
        <v>45</v>
      </c>
      <c r="F13" s="24" t="s">
        <v>31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customFormat="false" ht="21.75" hidden="false" customHeight="true" outlineLevel="0" collapsed="false">
      <c r="A14" s="22" t="str">
        <f aca="false">IF(OR(D14&lt;&gt;"",E14&lt;&gt;""),"["&amp;$B$2&amp;"-"&amp;TEXT(ROW()-7-COUNTBLANK($E$8:E14),"##")&amp;"]","")</f>
        <v>[OCR-6]</v>
      </c>
      <c r="B14" s="23" t="s">
        <v>46</v>
      </c>
      <c r="C14" s="23" t="s">
        <v>47</v>
      </c>
      <c r="D14" s="23" t="s">
        <v>48</v>
      </c>
      <c r="E14" s="23" t="s">
        <v>49</v>
      </c>
      <c r="F14" s="25" t="s">
        <v>50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customFormat="false" ht="21.75" hidden="false" customHeight="true" outlineLevel="0" collapsed="false">
      <c r="A15" s="22" t="str">
        <f aca="false">IF(OR(D15&lt;&gt;"",E15&lt;&gt;""),"["&amp;$B$2&amp;"-"&amp;TEXT(ROW()-7-COUNTBLANK($E$8:E15),"##")&amp;"]","")</f>
        <v>[OCR-7]</v>
      </c>
      <c r="B15" s="23" t="s">
        <v>51</v>
      </c>
      <c r="C15" s="23" t="s">
        <v>52</v>
      </c>
      <c r="D15" s="23" t="s">
        <v>53</v>
      </c>
      <c r="E15" s="23" t="s">
        <v>54</v>
      </c>
      <c r="F15" s="25" t="s">
        <v>50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customFormat="false" ht="63.75" hidden="false" customHeight="true" outlineLevel="0" collapsed="false">
      <c r="A16" s="22" t="str">
        <f aca="false">IF(OR(D16&lt;&gt;"",E16&lt;&gt;""),"["&amp;$B$2&amp;"-"&amp;TEXT(ROW()-7-COUNTBLANK($E$8:E16),"##")&amp;"]","")</f>
        <v>[OCR-8]</v>
      </c>
      <c r="B16" s="23" t="s">
        <v>55</v>
      </c>
      <c r="C16" s="23" t="s">
        <v>56</v>
      </c>
      <c r="D16" s="23" t="s">
        <v>57</v>
      </c>
      <c r="E16" s="23" t="s">
        <v>58</v>
      </c>
      <c r="F16" s="24" t="s">
        <v>31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customFormat="false" ht="63.75" hidden="false" customHeight="true" outlineLevel="0" collapsed="false">
      <c r="A17" s="22" t="str">
        <f aca="false">IF(OR(D17&lt;&gt;"",E17&lt;&gt;""),"["&amp;$B$2&amp;"-"&amp;TEXT(ROW()-7-COUNTBLANK($E$8:E17),"##")&amp;"]","")</f>
        <v>[OCR-9]</v>
      </c>
      <c r="B17" s="23" t="s">
        <v>59</v>
      </c>
      <c r="C17" s="23" t="s">
        <v>60</v>
      </c>
      <c r="D17" s="23" t="s">
        <v>61</v>
      </c>
      <c r="E17" s="23" t="s">
        <v>62</v>
      </c>
      <c r="F17" s="24" t="s">
        <v>31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customFormat="false" ht="21.75" hidden="false" customHeight="true" outlineLevel="0" collapsed="false">
      <c r="A18" s="21" t="s">
        <v>63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customFormat="false" ht="21.75" hidden="false" customHeight="true" outlineLevel="0" collapsed="false">
      <c r="A19" s="22" t="str">
        <f aca="false">IF(OR(D19&lt;&gt;"",E19&lt;&gt;""),"["&amp;$B$2&amp;"-"&amp;TEXT(ROW()-7-COUNTBLANK($E$8:E19),"##")&amp;"]","")</f>
        <v>[OCR-10]</v>
      </c>
      <c r="B19" s="23" t="s">
        <v>64</v>
      </c>
      <c r="C19" s="23" t="s">
        <v>65</v>
      </c>
      <c r="D19" s="23" t="s">
        <v>61</v>
      </c>
      <c r="E19" s="23" t="s">
        <v>66</v>
      </c>
      <c r="F19" s="24" t="s">
        <v>31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customFormat="false" ht="31.5" hidden="false" customHeight="true" outlineLevel="0" collapsed="false">
      <c r="A20" s="22" t="str">
        <f aca="false">IF(OR(D20&lt;&gt;"",E20&lt;&gt;""),"["&amp;$B$2&amp;"-"&amp;TEXT(ROW()-7-COUNTBLANK($E$8:E20),"##")&amp;"]","")</f>
        <v>[OCR-11]</v>
      </c>
      <c r="B20" s="23" t="s">
        <v>67</v>
      </c>
      <c r="C20" s="23" t="s">
        <v>68</v>
      </c>
      <c r="D20" s="23" t="s">
        <v>61</v>
      </c>
      <c r="E20" s="23" t="s">
        <v>69</v>
      </c>
      <c r="F20" s="25" t="s">
        <v>50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customFormat="false" ht="31.5" hidden="false" customHeight="true" outlineLevel="0" collapsed="false">
      <c r="A21" s="22" t="str">
        <f aca="false">IF(OR(D21&lt;&gt;"",E21&lt;&gt;""),"["&amp;$B$2&amp;"-"&amp;TEXT(ROW()-7-COUNTBLANK($E$8:E21),"##")&amp;"]","")</f>
        <v>[OCR-12]</v>
      </c>
      <c r="B21" s="23" t="s">
        <v>70</v>
      </c>
      <c r="C21" s="23" t="s">
        <v>71</v>
      </c>
      <c r="D21" s="23" t="s">
        <v>61</v>
      </c>
      <c r="E21" s="23" t="s">
        <v>72</v>
      </c>
      <c r="F21" s="24" t="s">
        <v>31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 customFormat="false" ht="63.75" hidden="false" customHeight="true" outlineLevel="0" collapsed="false">
      <c r="A22" s="22" t="str">
        <f aca="false">IF(OR(D22&lt;&gt;"",E22&lt;&gt;""),"["&amp;$B$2&amp;"-"&amp;TEXT(ROW()-7-COUNTBLANK($E$8:E22),"##")&amp;"]","")</f>
        <v>[OCR-13]</v>
      </c>
      <c r="B22" s="23" t="s">
        <v>73</v>
      </c>
      <c r="C22" s="23" t="s">
        <v>74</v>
      </c>
      <c r="D22" s="23" t="s">
        <v>61</v>
      </c>
      <c r="E22" s="23" t="s">
        <v>75</v>
      </c>
      <c r="F22" s="24" t="s">
        <v>31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customFormat="false" ht="31.5" hidden="false" customHeight="true" outlineLevel="0" collapsed="false">
      <c r="A23" s="22" t="str">
        <f aca="false">IF(OR(D23&lt;&gt;"",E23&lt;&gt;""),"["&amp;$B$2&amp;"-"&amp;TEXT(ROW()-7-COUNTBLANK($E$8:E23),"##")&amp;"]","")</f>
        <v>[OCR-14]</v>
      </c>
      <c r="B23" s="23" t="s">
        <v>76</v>
      </c>
      <c r="C23" s="23" t="s">
        <v>77</v>
      </c>
      <c r="D23" s="23" t="s">
        <v>78</v>
      </c>
      <c r="E23" s="23" t="s">
        <v>79</v>
      </c>
      <c r="F23" s="25" t="s">
        <v>50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customFormat="false" ht="31.5" hidden="false" customHeight="true" outlineLevel="0" collapsed="false">
      <c r="A24" s="22" t="str">
        <f aca="false">IF(OR(D24&lt;&gt;"",E24&lt;&gt;""),"["&amp;$B$2&amp;"-"&amp;TEXT(ROW()-7-COUNTBLANK($E$8:E24),"##")&amp;"]","")</f>
        <v>[OCR-15]</v>
      </c>
      <c r="B24" s="23" t="s">
        <v>80</v>
      </c>
      <c r="C24" s="23" t="s">
        <v>81</v>
      </c>
      <c r="D24" s="23" t="s">
        <v>61</v>
      </c>
      <c r="E24" s="23" t="s">
        <v>82</v>
      </c>
      <c r="F24" s="25" t="s">
        <v>50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customFormat="false" ht="31.5" hidden="false" customHeight="true" outlineLevel="0" collapsed="false">
      <c r="A25" s="22" t="str">
        <f aca="false">IF(OR(D25&lt;&gt;"",E25&lt;&gt;""),"["&amp;$B$2&amp;"-"&amp;TEXT(ROW()-7-COUNTBLANK($E$8:E25),"##")&amp;"]","")</f>
        <v>[OCR-16]</v>
      </c>
      <c r="B25" s="23" t="s">
        <v>83</v>
      </c>
      <c r="C25" s="23" t="s">
        <v>84</v>
      </c>
      <c r="D25" s="23" t="s">
        <v>85</v>
      </c>
      <c r="E25" s="23" t="s">
        <v>86</v>
      </c>
      <c r="F25" s="25" t="s">
        <v>50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customFormat="false" ht="21.75" hidden="false" customHeight="true" outlineLevel="0" collapsed="false">
      <c r="A26" s="22" t="str">
        <f aca="false">IF(OR(D26&lt;&gt;"",E26&lt;&gt;""),"["&amp;$B$2&amp;"-"&amp;TEXT(ROW()-7-COUNTBLANK($E$8:E26),"##")&amp;"]","")</f>
        <v>[OCR-17]</v>
      </c>
      <c r="B26" s="23" t="s">
        <v>87</v>
      </c>
      <c r="C26" s="23" t="s">
        <v>88</v>
      </c>
      <c r="D26" s="23" t="s">
        <v>85</v>
      </c>
      <c r="E26" s="23" t="s">
        <v>89</v>
      </c>
      <c r="F26" s="26" t="s">
        <v>90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customFormat="false" ht="21.75" hidden="false" customHeight="true" outlineLevel="0" collapsed="false">
      <c r="A27" s="21" t="s">
        <v>91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customFormat="false" ht="31.5" hidden="false" customHeight="true" outlineLevel="0" collapsed="false">
      <c r="A28" s="22" t="str">
        <f aca="false">IF(OR(D28&lt;&gt;"",E28&lt;&gt;""),"["&amp;$B$2&amp;"-"&amp;TEXT(ROW()-7-COUNTBLANK($E$8:E28),"##")&amp;"]","")</f>
        <v>[OCR-18]</v>
      </c>
      <c r="B28" s="23" t="s">
        <v>92</v>
      </c>
      <c r="C28" s="23" t="s">
        <v>93</v>
      </c>
      <c r="D28" s="23" t="s">
        <v>94</v>
      </c>
      <c r="E28" s="23" t="s">
        <v>95</v>
      </c>
      <c r="F28" s="24" t="s">
        <v>31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customFormat="false" ht="31.5" hidden="false" customHeight="true" outlineLevel="0" collapsed="false">
      <c r="A29" s="22" t="str">
        <f aca="false">IF(OR(D29&lt;&gt;"",E29&lt;&gt;""),"["&amp;$B$2&amp;"-"&amp;TEXT(ROW()-7-COUNTBLANK($E$8:E29),"##")&amp;"]","")</f>
        <v>[OCR-19]</v>
      </c>
      <c r="B29" s="23" t="s">
        <v>96</v>
      </c>
      <c r="C29" s="23" t="s">
        <v>97</v>
      </c>
      <c r="D29" s="23" t="s">
        <v>94</v>
      </c>
      <c r="E29" s="23" t="s">
        <v>98</v>
      </c>
      <c r="F29" s="24" t="s">
        <v>31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customFormat="false" ht="31.5" hidden="false" customHeight="true" outlineLevel="0" collapsed="false">
      <c r="A30" s="22" t="str">
        <f aca="false">IF(OR(D30&lt;&gt;"",E30&lt;&gt;""),"["&amp;$B$2&amp;"-"&amp;TEXT(ROW()-7-COUNTBLANK($E$8:E30),"##")&amp;"]","")</f>
        <v>[OCR-20]</v>
      </c>
      <c r="B30" s="23" t="s">
        <v>99</v>
      </c>
      <c r="C30" s="23" t="s">
        <v>100</v>
      </c>
      <c r="D30" s="23" t="s">
        <v>94</v>
      </c>
      <c r="E30" s="23" t="s">
        <v>101</v>
      </c>
      <c r="F30" s="24" t="s">
        <v>31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customFormat="false" ht="31.5" hidden="false" customHeight="true" outlineLevel="0" collapsed="false">
      <c r="A31" s="22" t="str">
        <f aca="false">IF(OR(D31&lt;&gt;"",E31&lt;&gt;""),"["&amp;$B$2&amp;"-"&amp;TEXT(ROW()-7-COUNTBLANK($E$8:E31),"##")&amp;"]","")</f>
        <v>[OCR-21]</v>
      </c>
      <c r="B31" s="23" t="s">
        <v>102</v>
      </c>
      <c r="C31" s="23" t="s">
        <v>103</v>
      </c>
      <c r="D31" s="23" t="s">
        <v>94</v>
      </c>
      <c r="E31" s="23" t="s">
        <v>104</v>
      </c>
      <c r="F31" s="25" t="s">
        <v>50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customFormat="false" ht="63.75" hidden="false" customHeight="true" outlineLevel="0" collapsed="false">
      <c r="A32" s="22" t="str">
        <f aca="false">IF(OR(D32&lt;&gt;"",E32&lt;&gt;""),"["&amp;$B$2&amp;"-"&amp;TEXT(ROW()-7-COUNTBLANK($E$8:E32),"##")&amp;"]","")</f>
        <v>[OCR-22]</v>
      </c>
      <c r="B32" s="23" t="s">
        <v>105</v>
      </c>
      <c r="C32" s="23" t="s">
        <v>106</v>
      </c>
      <c r="D32" s="23" t="s">
        <v>94</v>
      </c>
      <c r="E32" s="23" t="s">
        <v>107</v>
      </c>
      <c r="F32" s="24" t="s">
        <v>31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customFormat="false" ht="48" hidden="false" customHeight="true" outlineLevel="0" collapsed="false">
      <c r="A33" s="22" t="str">
        <f aca="false">IF(OR(D33&lt;&gt;"",E33&lt;&gt;""),"["&amp;$B$2&amp;"-"&amp;TEXT(ROW()-7-COUNTBLANK($E$8:E33),"##")&amp;"]","")</f>
        <v>[OCR-23]</v>
      </c>
      <c r="B33" s="23" t="s">
        <v>108</v>
      </c>
      <c r="C33" s="23" t="s">
        <v>109</v>
      </c>
      <c r="D33" s="23" t="s">
        <v>94</v>
      </c>
      <c r="E33" s="23" t="s">
        <v>110</v>
      </c>
      <c r="F33" s="25" t="s">
        <v>50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customFormat="false" ht="48" hidden="false" customHeight="true" outlineLevel="0" collapsed="false">
      <c r="A34" s="22" t="str">
        <f aca="false">IF(OR(D34&lt;&gt;"",E34&lt;&gt;""),"["&amp;$B$2&amp;"-"&amp;TEXT(ROW()-7-COUNTBLANK($E$8:E34),"##")&amp;"]","")</f>
        <v>[OCR-24]</v>
      </c>
      <c r="B34" s="23" t="s">
        <v>111</v>
      </c>
      <c r="C34" s="23" t="s">
        <v>112</v>
      </c>
      <c r="D34" s="23" t="s">
        <v>94</v>
      </c>
      <c r="E34" s="23" t="s">
        <v>113</v>
      </c>
      <c r="F34" s="25" t="s">
        <v>50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customFormat="false" ht="63.75" hidden="false" customHeight="true" outlineLevel="0" collapsed="false">
      <c r="A35" s="22" t="str">
        <f aca="false">IF(OR(D35&lt;&gt;"",E35&lt;&gt;""),"["&amp;$B$2&amp;"-"&amp;TEXT(ROW()-7-COUNTBLANK($E$8:E35),"##")&amp;"]","")</f>
        <v>[OCR-25]</v>
      </c>
      <c r="B35" s="23" t="s">
        <v>114</v>
      </c>
      <c r="C35" s="23" t="s">
        <v>115</v>
      </c>
      <c r="D35" s="23" t="s">
        <v>116</v>
      </c>
      <c r="E35" s="23" t="s">
        <v>117</v>
      </c>
      <c r="F35" s="26" t="s">
        <v>90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customFormat="false" ht="21.75" hidden="false" customHeight="true" outlineLevel="0" collapsed="false">
      <c r="A36" s="21" t="s">
        <v>118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customFormat="false" ht="192" hidden="false" customHeight="true" outlineLevel="0" collapsed="false">
      <c r="A37" s="22" t="str">
        <f aca="false">IF(OR(D37&lt;&gt;"",E37&lt;&gt;""),"["&amp;$B$2&amp;"-"&amp;TEXT(ROW()-7-COUNTBLANK($E$8:E37),"##")&amp;"]","")</f>
        <v>[OCR-26]</v>
      </c>
      <c r="B37" s="23" t="s">
        <v>119</v>
      </c>
      <c r="C37" s="23" t="s">
        <v>120</v>
      </c>
      <c r="D37" s="23" t="s">
        <v>121</v>
      </c>
      <c r="E37" s="23" t="s">
        <v>122</v>
      </c>
      <c r="F37" s="24" t="s">
        <v>31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 customFormat="false" ht="127.5" hidden="false" customHeight="true" outlineLevel="0" collapsed="false">
      <c r="A38" s="22" t="str">
        <f aca="false">IF(OR(D38&lt;&gt;"",E38&lt;&gt;""),"["&amp;$B$2&amp;"-"&amp;TEXT(ROW()-7-COUNTBLANK($E$8:E38),"##")&amp;"]","")</f>
        <v>[OCR-27]</v>
      </c>
      <c r="B38" s="23" t="s">
        <v>123</v>
      </c>
      <c r="C38" s="23" t="s">
        <v>124</v>
      </c>
      <c r="D38" s="23" t="s">
        <v>94</v>
      </c>
      <c r="E38" s="23" t="s">
        <v>125</v>
      </c>
      <c r="F38" s="24" t="s">
        <v>31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 customFormat="false" ht="144" hidden="false" customHeight="true" outlineLevel="0" collapsed="false">
      <c r="A39" s="22" t="str">
        <f aca="false">IF(OR(D39&lt;&gt;"",E39&lt;&gt;""),"["&amp;$B$2&amp;"-"&amp;TEXT(ROW()-7-COUNTBLANK($E$8:E39),"##")&amp;"]","")</f>
        <v>[OCR-28]</v>
      </c>
      <c r="B39" s="23" t="s">
        <v>126</v>
      </c>
      <c r="C39" s="23" t="s">
        <v>127</v>
      </c>
      <c r="D39" s="23" t="s">
        <v>94</v>
      </c>
      <c r="E39" s="23" t="s">
        <v>128</v>
      </c>
      <c r="F39" s="24" t="s">
        <v>31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 customFormat="false" ht="127.5" hidden="false" customHeight="true" outlineLevel="0" collapsed="false">
      <c r="A40" s="22" t="str">
        <f aca="false">IF(OR(D40&lt;&gt;"",E40&lt;&gt;""),"["&amp;$B$2&amp;"-"&amp;TEXT(ROW()-7-COUNTBLANK($E$8:E40),"##")&amp;"]","")</f>
        <v>[OCR-29]</v>
      </c>
      <c r="B40" s="23" t="s">
        <v>129</v>
      </c>
      <c r="C40" s="23" t="s">
        <v>130</v>
      </c>
      <c r="D40" s="23" t="s">
        <v>94</v>
      </c>
      <c r="E40" s="23" t="s">
        <v>131</v>
      </c>
      <c r="F40" s="24" t="s">
        <v>31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 customFormat="false" ht="111.75" hidden="false" customHeight="true" outlineLevel="0" collapsed="false">
      <c r="A41" s="22" t="str">
        <f aca="false">IF(OR(D41&lt;&gt;"",E41&lt;&gt;""),"["&amp;$B$2&amp;"-"&amp;TEXT(ROW()-7-COUNTBLANK($E$8:E41),"##")&amp;"]","")</f>
        <v>[OCR-30]</v>
      </c>
      <c r="B41" s="23" t="s">
        <v>132</v>
      </c>
      <c r="C41" s="23" t="s">
        <v>133</v>
      </c>
      <c r="D41" s="23" t="s">
        <v>94</v>
      </c>
      <c r="E41" s="23" t="s">
        <v>134</v>
      </c>
      <c r="F41" s="25" t="s">
        <v>50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 customFormat="false" ht="96" hidden="false" customHeight="true" outlineLevel="0" collapsed="false">
      <c r="A42" s="22" t="str">
        <f aca="false">IF(OR(D42&lt;&gt;"",E42&lt;&gt;""),"["&amp;$B$2&amp;"-"&amp;TEXT(ROW()-7-COUNTBLANK($E$8:E42),"##")&amp;"]","")</f>
        <v>[OCR-31]</v>
      </c>
      <c r="B42" s="23" t="s">
        <v>135</v>
      </c>
      <c r="C42" s="23" t="s">
        <v>136</v>
      </c>
      <c r="D42" s="23" t="s">
        <v>94</v>
      </c>
      <c r="E42" s="23" t="s">
        <v>137</v>
      </c>
      <c r="F42" s="25" t="s">
        <v>50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 customFormat="false" ht="31.5" hidden="false" customHeight="true" outlineLevel="0" collapsed="false">
      <c r="A43" s="22" t="str">
        <f aca="false">IF(OR(D43&lt;&gt;"",E43&lt;&gt;""),"["&amp;$B$2&amp;"-"&amp;TEXT(ROW()-7-COUNTBLANK($E$8:E43),"##")&amp;"]","")</f>
        <v>[OCR-32]</v>
      </c>
      <c r="B43" s="23" t="s">
        <v>138</v>
      </c>
      <c r="C43" s="23" t="s">
        <v>139</v>
      </c>
      <c r="D43" s="23" t="s">
        <v>140</v>
      </c>
      <c r="E43" s="23" t="s">
        <v>141</v>
      </c>
      <c r="F43" s="26" t="s">
        <v>90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 customFormat="false" ht="21.75" hidden="false" customHeight="true" outlineLevel="0" collapsed="false">
      <c r="A44" s="21" t="s">
        <v>142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customFormat="false" ht="31.5" hidden="false" customHeight="true" outlineLevel="0" collapsed="false">
      <c r="A45" s="22" t="str">
        <f aca="false">IF(OR(D45&lt;&gt;"",E45&lt;&gt;""),"["&amp;$B$2&amp;"-"&amp;TEXT(ROW()-7-COUNTBLANK($E$8:E45),"##")&amp;"]","")</f>
        <v>[OCR-33]</v>
      </c>
      <c r="B45" s="23" t="s">
        <v>143</v>
      </c>
      <c r="C45" s="23" t="s">
        <v>144</v>
      </c>
      <c r="D45" s="23" t="s">
        <v>94</v>
      </c>
      <c r="E45" s="23" t="s">
        <v>145</v>
      </c>
      <c r="F45" s="24" t="s">
        <v>31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 customFormat="false" ht="31.5" hidden="false" customHeight="true" outlineLevel="0" collapsed="false">
      <c r="A46" s="22" t="str">
        <f aca="false">IF(OR(D46&lt;&gt;"",E46&lt;&gt;""),"["&amp;$B$2&amp;"-"&amp;TEXT(ROW()-7-COUNTBLANK($E$8:E46),"##")&amp;"]","")</f>
        <v>[OCR-34]</v>
      </c>
      <c r="B46" s="23" t="s">
        <v>146</v>
      </c>
      <c r="C46" s="23" t="s">
        <v>147</v>
      </c>
      <c r="D46" s="23" t="s">
        <v>94</v>
      </c>
      <c r="E46" s="23" t="s">
        <v>148</v>
      </c>
      <c r="F46" s="24" t="s">
        <v>31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 customFormat="false" ht="31.5" hidden="false" customHeight="true" outlineLevel="0" collapsed="false">
      <c r="A47" s="22" t="str">
        <f aca="false">IF(OR(D47&lt;&gt;"",E47&lt;&gt;""),"["&amp;$B$2&amp;"-"&amp;TEXT(ROW()-7-COUNTBLANK($E$8:E47),"##")&amp;"]","")</f>
        <v>[OCR-35]</v>
      </c>
      <c r="B47" s="23" t="s">
        <v>149</v>
      </c>
      <c r="C47" s="23" t="s">
        <v>150</v>
      </c>
      <c r="D47" s="23" t="s">
        <v>94</v>
      </c>
      <c r="E47" s="23" t="s">
        <v>151</v>
      </c>
      <c r="F47" s="25" t="s">
        <v>50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 customFormat="false" ht="48" hidden="false" customHeight="true" outlineLevel="0" collapsed="false">
      <c r="A48" s="22" t="str">
        <f aca="false">IF(OR(D48&lt;&gt;"",E48&lt;&gt;""),"["&amp;$B$2&amp;"-"&amp;TEXT(ROW()-7-COUNTBLANK($E$8:E48),"##")&amp;"]","")</f>
        <v>[OCR-36]</v>
      </c>
      <c r="B48" s="23" t="s">
        <v>152</v>
      </c>
      <c r="C48" s="23" t="s">
        <v>153</v>
      </c>
      <c r="D48" s="23" t="s">
        <v>154</v>
      </c>
      <c r="E48" s="23" t="s">
        <v>155</v>
      </c>
      <c r="F48" s="25" t="s">
        <v>50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</row>
    <row r="49" customFormat="false" ht="21.75" hidden="false" customHeight="true" outlineLevel="0" collapsed="false">
      <c r="A49" s="21" t="s">
        <v>156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customFormat="false" ht="63.75" hidden="false" customHeight="true" outlineLevel="0" collapsed="false">
      <c r="A50" s="22" t="str">
        <f aca="false">IF(OR(D50&lt;&gt;"",E50&lt;&gt;""),"["&amp;$B$2&amp;"-"&amp;TEXT(ROW()-7-COUNTBLANK($E$8:E50),"##")&amp;"]","")</f>
        <v>[OCR-37]</v>
      </c>
      <c r="B50" s="23" t="s">
        <v>157</v>
      </c>
      <c r="C50" s="23" t="s">
        <v>158</v>
      </c>
      <c r="D50" s="23" t="s">
        <v>159</v>
      </c>
      <c r="E50" s="23" t="s">
        <v>160</v>
      </c>
      <c r="F50" s="24" t="s">
        <v>31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</row>
    <row r="51" customFormat="false" ht="48" hidden="false" customHeight="true" outlineLevel="0" collapsed="false">
      <c r="A51" s="22" t="str">
        <f aca="false">IF(OR(D51&lt;&gt;"",E51&lt;&gt;""),"["&amp;$B$2&amp;"-"&amp;TEXT(ROW()-7-COUNTBLANK($E$8:E51),"##")&amp;"]","")</f>
        <v>[OCR-38]</v>
      </c>
      <c r="B51" s="23" t="s">
        <v>161</v>
      </c>
      <c r="C51" s="23" t="s">
        <v>162</v>
      </c>
      <c r="D51" s="23" t="s">
        <v>163</v>
      </c>
      <c r="E51" s="23" t="s">
        <v>164</v>
      </c>
      <c r="F51" s="25" t="s">
        <v>50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</row>
    <row r="52" customFormat="false" ht="21.75" hidden="false" customHeight="true" outlineLevel="0" collapsed="false">
      <c r="A52" s="22" t="str">
        <f aca="false">IF(OR(D52&lt;&gt;"",E52&lt;&gt;""),"["&amp;$B$2&amp;"-"&amp;TEXT(ROW()-7-COUNTBLANK($E$8:E52),"##")&amp;"]","")</f>
        <v>[OCR-39]</v>
      </c>
      <c r="B52" s="23" t="s">
        <v>165</v>
      </c>
      <c r="C52" s="23" t="s">
        <v>166</v>
      </c>
      <c r="D52" s="23" t="s">
        <v>167</v>
      </c>
      <c r="E52" s="23" t="s">
        <v>168</v>
      </c>
      <c r="F52" s="25" t="s">
        <v>50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 customFormat="false" ht="21.75" hidden="false" customHeight="true" outlineLevel="0" collapsed="false">
      <c r="A53" s="22" t="str">
        <f aca="false">IF(OR(D53&lt;&gt;"",E53&lt;&gt;""),"["&amp;$B$2&amp;"-"&amp;TEXT(ROW()-7-COUNTBLANK($E$8:E53),"##")&amp;"]","")</f>
        <v>[OCR-40]</v>
      </c>
      <c r="B53" s="23" t="s">
        <v>169</v>
      </c>
      <c r="C53" s="23" t="s">
        <v>170</v>
      </c>
      <c r="D53" s="23" t="s">
        <v>171</v>
      </c>
      <c r="E53" s="23" t="s">
        <v>172</v>
      </c>
      <c r="F53" s="25" t="s">
        <v>50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 customFormat="false" ht="21.75" hidden="false" customHeight="true" outlineLevel="0" collapsed="false">
      <c r="A54" s="22" t="str">
        <f aca="false">IF(OR(D54&lt;&gt;"",E54&lt;&gt;""),"["&amp;$B$2&amp;"-"&amp;TEXT(ROW()-7-COUNTBLANK($E$8:E54),"##")&amp;"]","")</f>
        <v>[OCR-41]</v>
      </c>
      <c r="B54" s="23" t="s">
        <v>173</v>
      </c>
      <c r="C54" s="23" t="s">
        <v>174</v>
      </c>
      <c r="D54" s="23" t="s">
        <v>175</v>
      </c>
      <c r="E54" s="23" t="s">
        <v>176</v>
      </c>
      <c r="F54" s="26" t="s">
        <v>90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customFormat="false" ht="63.75" hidden="false" customHeight="true" outlineLevel="0" collapsed="false">
      <c r="A55" s="22" t="str">
        <f aca="false">IF(OR(D55&lt;&gt;"",E55&lt;&gt;""),"["&amp;$B$2&amp;"-"&amp;TEXT(ROW()-7-COUNTBLANK($E$8:E55),"##")&amp;"]","")</f>
        <v>[OCR-42]</v>
      </c>
      <c r="B55" s="23" t="s">
        <v>177</v>
      </c>
      <c r="C55" s="23" t="s">
        <v>178</v>
      </c>
      <c r="D55" s="23" t="s">
        <v>179</v>
      </c>
      <c r="E55" s="23" t="s">
        <v>180</v>
      </c>
      <c r="F55" s="24" t="s">
        <v>31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customFormat="false" ht="31.5" hidden="false" customHeight="true" outlineLevel="0" collapsed="false">
      <c r="A56" s="22" t="str">
        <f aca="false">IF(OR(D56&lt;&gt;"",E56&lt;&gt;""),"["&amp;$B$2&amp;"-"&amp;TEXT(ROW()-7-COUNTBLANK($E$8:E56),"##")&amp;"]","")</f>
        <v>[OCR-43]</v>
      </c>
      <c r="B56" s="23" t="s">
        <v>181</v>
      </c>
      <c r="C56" s="23" t="s">
        <v>182</v>
      </c>
      <c r="D56" s="23" t="s">
        <v>179</v>
      </c>
      <c r="E56" s="23" t="s">
        <v>183</v>
      </c>
      <c r="F56" s="25" t="s">
        <v>50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 customFormat="false" ht="79.5" hidden="false" customHeight="true" outlineLevel="0" collapsed="false">
      <c r="A57" s="22" t="str">
        <f aca="false">IF(OR(D57&lt;&gt;"",E57&lt;&gt;""),"["&amp;$B$2&amp;"-"&amp;TEXT(ROW()-7-COUNTBLANK($E$8:E57),"##")&amp;"]","")</f>
        <v>[OCR-44]</v>
      </c>
      <c r="B57" s="23" t="s">
        <v>184</v>
      </c>
      <c r="C57" s="23" t="s">
        <v>185</v>
      </c>
      <c r="D57" s="23" t="s">
        <v>186</v>
      </c>
      <c r="E57" s="23" t="s">
        <v>187</v>
      </c>
      <c r="F57" s="25" t="s">
        <v>50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 customFormat="false" ht="21.75" hidden="false" customHeight="true" outlineLevel="0" collapsed="false">
      <c r="A58" s="21" t="s">
        <v>188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customFormat="false" ht="63.75" hidden="false" customHeight="true" outlineLevel="0" collapsed="false">
      <c r="A59" s="22" t="str">
        <f aca="false">IF(OR(D59&lt;&gt;"",E59&lt;&gt;""),"["&amp;$B$2&amp;"-"&amp;TEXT(ROW()-7-COUNTBLANK($E$8:E59),"##")&amp;"]","")</f>
        <v>[OCR-45]</v>
      </c>
      <c r="B59" s="23" t="s">
        <v>189</v>
      </c>
      <c r="C59" s="23" t="s">
        <v>190</v>
      </c>
      <c r="D59" s="23" t="s">
        <v>61</v>
      </c>
      <c r="E59" s="23" t="s">
        <v>191</v>
      </c>
      <c r="F59" s="24" t="s">
        <v>31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 customFormat="false" ht="63.75" hidden="false" customHeight="true" outlineLevel="0" collapsed="false">
      <c r="A60" s="22" t="str">
        <f aca="false">IF(OR(D60&lt;&gt;"",E60&lt;&gt;""),"["&amp;$B$2&amp;"-"&amp;TEXT(ROW()-7-COUNTBLANK($E$8:E60),"##")&amp;"]","")</f>
        <v>[OCR-46]</v>
      </c>
      <c r="B60" s="23" t="s">
        <v>192</v>
      </c>
      <c r="C60" s="23" t="s">
        <v>193</v>
      </c>
      <c r="D60" s="23" t="s">
        <v>61</v>
      </c>
      <c r="E60" s="23" t="s">
        <v>194</v>
      </c>
      <c r="F60" s="24" t="s">
        <v>31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 customFormat="false" ht="48" hidden="false" customHeight="true" outlineLevel="0" collapsed="false">
      <c r="A61" s="22" t="str">
        <f aca="false">IF(OR(D61&lt;&gt;"",E61&lt;&gt;""),"["&amp;$B$2&amp;"-"&amp;TEXT(ROW()-7-COUNTBLANK($E$8:E61),"##")&amp;"]","")</f>
        <v>[OCR-47]</v>
      </c>
      <c r="B61" s="23" t="s">
        <v>195</v>
      </c>
      <c r="C61" s="23" t="s">
        <v>196</v>
      </c>
      <c r="D61" s="23" t="s">
        <v>197</v>
      </c>
      <c r="E61" s="23" t="s">
        <v>198</v>
      </c>
      <c r="F61" s="25" t="s">
        <v>50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 customFormat="false" ht="63.75" hidden="false" customHeight="true" outlineLevel="0" collapsed="false">
      <c r="A62" s="22" t="str">
        <f aca="false">IF(OR(D62&lt;&gt;"",E62&lt;&gt;""),"["&amp;$B$2&amp;"-"&amp;TEXT(ROW()-7-COUNTBLANK($E$8:E62),"##")&amp;"]","")</f>
        <v>[OCR-48]</v>
      </c>
      <c r="B62" s="23" t="s">
        <v>199</v>
      </c>
      <c r="C62" s="23" t="s">
        <v>200</v>
      </c>
      <c r="D62" s="23" t="s">
        <v>94</v>
      </c>
      <c r="E62" s="23" t="s">
        <v>201</v>
      </c>
      <c r="F62" s="25" t="s">
        <v>50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 customFormat="false" ht="96" hidden="false" customHeight="true" outlineLevel="0" collapsed="false">
      <c r="A63" s="22" t="str">
        <f aca="false">IF(OR(D63&lt;&gt;"",E63&lt;&gt;""),"["&amp;$B$2&amp;"-"&amp;TEXT(ROW()-7-COUNTBLANK($E$8:E63),"##")&amp;"]","")</f>
        <v>[OCR-49]</v>
      </c>
      <c r="B63" s="23" t="s">
        <v>202</v>
      </c>
      <c r="C63" s="23" t="s">
        <v>203</v>
      </c>
      <c r="D63" s="23" t="s">
        <v>94</v>
      </c>
      <c r="E63" s="23" t="s">
        <v>204</v>
      </c>
      <c r="F63" s="25" t="s">
        <v>50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 customFormat="false" ht="21.75" hidden="false" customHeight="true" outlineLevel="0" collapsed="false">
      <c r="A64" s="21" t="s">
        <v>205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customFormat="false" ht="48" hidden="false" customHeight="true" outlineLevel="0" collapsed="false">
      <c r="A65" s="22" t="str">
        <f aca="false">IF(OR(D65&lt;&gt;"",E65&lt;&gt;""),"["&amp;$B$2&amp;"-"&amp;TEXT(ROW()-7-COUNTBLANK($E$8:E65),"##")&amp;"]","")</f>
        <v>[OCR-50]</v>
      </c>
      <c r="B65" s="23" t="s">
        <v>206</v>
      </c>
      <c r="C65" s="23" t="s">
        <v>207</v>
      </c>
      <c r="D65" s="23" t="s">
        <v>208</v>
      </c>
      <c r="E65" s="23" t="s">
        <v>209</v>
      </c>
      <c r="F65" s="24" t="s">
        <v>31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 customFormat="false" ht="21.75" hidden="false" customHeight="true" outlineLevel="0" collapsed="false">
      <c r="A66" s="22" t="str">
        <f aca="false">IF(OR(D66&lt;&gt;"",E66&lt;&gt;""),"["&amp;$B$2&amp;"-"&amp;TEXT(ROW()-7-COUNTBLANK($E$8:E66),"##")&amp;"]","")</f>
        <v>[OCR-51]</v>
      </c>
      <c r="B66" s="23" t="s">
        <v>210</v>
      </c>
      <c r="C66" s="23" t="s">
        <v>211</v>
      </c>
      <c r="D66" s="23" t="s">
        <v>212</v>
      </c>
      <c r="E66" s="23" t="s">
        <v>213</v>
      </c>
      <c r="F66" s="24" t="s">
        <v>31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 customFormat="false" ht="21.75" hidden="false" customHeight="true" outlineLevel="0" collapsed="false">
      <c r="A67" s="22" t="str">
        <f aca="false">IF(OR(D67&lt;&gt;"",E67&lt;&gt;""),"["&amp;$B$2&amp;"-"&amp;TEXT(ROW()-7-COUNTBLANK($E$8:E67),"##")&amp;"]","")</f>
        <v>[OCR-52]</v>
      </c>
      <c r="B67" s="23" t="s">
        <v>214</v>
      </c>
      <c r="C67" s="23" t="s">
        <v>215</v>
      </c>
      <c r="D67" s="23" t="s">
        <v>216</v>
      </c>
      <c r="E67" s="23" t="s">
        <v>217</v>
      </c>
      <c r="F67" s="24" t="s">
        <v>31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 customFormat="false" ht="21.75" hidden="false" customHeight="true" outlineLevel="0" collapsed="false">
      <c r="A68" s="22" t="str">
        <f aca="false">IF(OR(D68&lt;&gt;"",E68&lt;&gt;""),"["&amp;$B$2&amp;"-"&amp;TEXT(ROW()-7-COUNTBLANK($E$8:E68),"##")&amp;"]","")</f>
        <v>[OCR-53]</v>
      </c>
      <c r="B68" s="23" t="s">
        <v>218</v>
      </c>
      <c r="C68" s="23" t="s">
        <v>219</v>
      </c>
      <c r="D68" s="23" t="s">
        <v>220</v>
      </c>
      <c r="E68" s="23" t="s">
        <v>221</v>
      </c>
      <c r="F68" s="24" t="s">
        <v>31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customFormat="false" ht="21.75" hidden="false" customHeight="true" outlineLevel="0" collapsed="false">
      <c r="A69" s="22" t="str">
        <f aca="false">IF(OR(D69&lt;&gt;"",E69&lt;&gt;""),"["&amp;$B$2&amp;"-"&amp;TEXT(ROW()-7-COUNTBLANK($E$8:E69),"##")&amp;"]","")</f>
        <v>[OCR-54]</v>
      </c>
      <c r="B69" s="23" t="s">
        <v>222</v>
      </c>
      <c r="C69" s="23" t="s">
        <v>223</v>
      </c>
      <c r="D69" s="23" t="s">
        <v>85</v>
      </c>
      <c r="E69" s="23" t="s">
        <v>224</v>
      </c>
      <c r="F69" s="24" t="s">
        <v>31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  <row r="70" customFormat="false" ht="21.75" hidden="false" customHeight="true" outlineLevel="0" collapsed="false">
      <c r="A70" s="21" t="s">
        <v>225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customFormat="false" ht="21.75" hidden="false" customHeight="true" outlineLevel="0" collapsed="false">
      <c r="A71" s="22" t="str">
        <f aca="false">IF(OR(D71&lt;&gt;"",E71&lt;&gt;""),"["&amp;$B$2&amp;"-"&amp;TEXT(ROW()-7-COUNTBLANK($E$8:E71),"##")&amp;"]","")</f>
        <v>[OCR-55]</v>
      </c>
      <c r="B71" s="23" t="s">
        <v>226</v>
      </c>
      <c r="C71" s="23" t="s">
        <v>227</v>
      </c>
      <c r="D71" s="23" t="s">
        <v>228</v>
      </c>
      <c r="E71" s="23" t="s">
        <v>229</v>
      </c>
      <c r="F71" s="24" t="s">
        <v>31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 customFormat="false" ht="31.5" hidden="false" customHeight="true" outlineLevel="0" collapsed="false">
      <c r="A72" s="22" t="str">
        <f aca="false">IF(OR(D72&lt;&gt;"",E72&lt;&gt;""),"["&amp;$B$2&amp;"-"&amp;TEXT(ROW()-7-COUNTBLANK($E$8:E72),"##")&amp;"]","")</f>
        <v>[OCR-56]</v>
      </c>
      <c r="B72" s="23" t="s">
        <v>230</v>
      </c>
      <c r="C72" s="23" t="s">
        <v>231</v>
      </c>
      <c r="D72" s="23" t="s">
        <v>232</v>
      </c>
      <c r="E72" s="23" t="s">
        <v>233</v>
      </c>
      <c r="F72" s="24" t="s">
        <v>31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 customFormat="false" ht="48" hidden="false" customHeight="true" outlineLevel="0" collapsed="false">
      <c r="A73" s="22" t="str">
        <f aca="false">IF(OR(D73&lt;&gt;"",E73&lt;&gt;""),"["&amp;$B$2&amp;"-"&amp;TEXT(ROW()-7-COUNTBLANK($E$8:E73),"##")&amp;"]","")</f>
        <v>[OCR-57]</v>
      </c>
      <c r="B73" s="23" t="s">
        <v>234</v>
      </c>
      <c r="C73" s="23" t="s">
        <v>235</v>
      </c>
      <c r="D73" s="23" t="s">
        <v>85</v>
      </c>
      <c r="E73" s="23" t="s">
        <v>236</v>
      </c>
      <c r="F73" s="25" t="s">
        <v>50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</row>
    <row r="74" customFormat="false" ht="21.75" hidden="false" customHeight="true" outlineLevel="0" collapsed="false">
      <c r="A74" s="22" t="str">
        <f aca="false">IF(OR(D74&lt;&gt;"",E74&lt;&gt;""),"["&amp;$B$2&amp;"-"&amp;TEXT(ROW()-7-COUNTBLANK($E$8:E74),"##")&amp;"]","")</f>
        <v>[OCR-58]</v>
      </c>
      <c r="B74" s="23" t="s">
        <v>237</v>
      </c>
      <c r="C74" s="23" t="s">
        <v>238</v>
      </c>
      <c r="D74" s="23" t="s">
        <v>85</v>
      </c>
      <c r="E74" s="23" t="s">
        <v>239</v>
      </c>
      <c r="F74" s="25" t="s">
        <v>50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 customFormat="false" ht="31.5" hidden="false" customHeight="true" outlineLevel="0" collapsed="false">
      <c r="A75" s="22" t="str">
        <f aca="false">IF(OR(D75&lt;&gt;"",E75&lt;&gt;""),"["&amp;$B$2&amp;"-"&amp;TEXT(ROW()-7-COUNTBLANK($E$8:E75),"##")&amp;"]","")</f>
        <v>[OCR-59]</v>
      </c>
      <c r="B75" s="23" t="s">
        <v>240</v>
      </c>
      <c r="C75" s="23" t="s">
        <v>241</v>
      </c>
      <c r="D75" s="23" t="s">
        <v>242</v>
      </c>
      <c r="E75" s="23" t="s">
        <v>243</v>
      </c>
      <c r="F75" s="25" t="s">
        <v>50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 customFormat="false" ht="21.75" hidden="false" customHeight="true" outlineLevel="0" collapsed="false">
      <c r="A76" s="21" t="s">
        <v>244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 customFormat="false" ht="21.75" hidden="false" customHeight="true" outlineLevel="0" collapsed="false">
      <c r="A77" s="22" t="str">
        <f aca="false">IF(OR(D77&lt;&gt;"",E77&lt;&gt;""),"["&amp;$B$2&amp;"-"&amp;TEXT(ROW()-7-COUNTBLANK($E$8:E77),"##")&amp;"]","")</f>
        <v>[OCR-60]</v>
      </c>
      <c r="B77" s="23" t="s">
        <v>245</v>
      </c>
      <c r="C77" s="23" t="s">
        <v>246</v>
      </c>
      <c r="D77" s="23" t="s">
        <v>247</v>
      </c>
      <c r="E77" s="23" t="s">
        <v>248</v>
      </c>
      <c r="F77" s="24" t="s">
        <v>31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 customFormat="false" ht="31.5" hidden="false" customHeight="true" outlineLevel="0" collapsed="false">
      <c r="A78" s="22" t="str">
        <f aca="false">IF(OR(D78&lt;&gt;"",E78&lt;&gt;""),"["&amp;$B$2&amp;"-"&amp;TEXT(ROW()-7-COUNTBLANK($E$8:E78),"##")&amp;"]","")</f>
        <v>[OCR-61]</v>
      </c>
      <c r="B78" s="23" t="s">
        <v>249</v>
      </c>
      <c r="C78" s="23" t="s">
        <v>250</v>
      </c>
      <c r="D78" s="23" t="s">
        <v>251</v>
      </c>
      <c r="E78" s="23" t="s">
        <v>252</v>
      </c>
      <c r="F78" s="24" t="s">
        <v>31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 customFormat="false" ht="21.75" hidden="false" customHeight="true" outlineLevel="0" collapsed="false">
      <c r="A79" s="22" t="str">
        <f aca="false">IF(OR(D79&lt;&gt;"",E79&lt;&gt;""),"["&amp;$B$2&amp;"-"&amp;TEXT(ROW()-7-COUNTBLANK($E$8:E79),"##")&amp;"]","")</f>
        <v>[OCR-62]</v>
      </c>
      <c r="B79" s="23" t="s">
        <v>253</v>
      </c>
      <c r="C79" s="23" t="s">
        <v>254</v>
      </c>
      <c r="D79" s="23" t="s">
        <v>255</v>
      </c>
      <c r="E79" s="23" t="s">
        <v>256</v>
      </c>
      <c r="F79" s="25" t="s">
        <v>50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 customFormat="false" ht="21.75" hidden="false" customHeight="true" outlineLevel="0" collapsed="false">
      <c r="A80" s="22" t="str">
        <f aca="false">IF(OR(D80&lt;&gt;"",E80&lt;&gt;""),"["&amp;$B$2&amp;"-"&amp;TEXT(ROW()-7-COUNTBLANK($E$8:E80),"##")&amp;"]","")</f>
        <v>[OCR-63]</v>
      </c>
      <c r="B80" s="23" t="s">
        <v>257</v>
      </c>
      <c r="C80" s="23" t="s">
        <v>258</v>
      </c>
      <c r="D80" s="23" t="s">
        <v>259</v>
      </c>
      <c r="E80" s="23" t="s">
        <v>260</v>
      </c>
      <c r="F80" s="24" t="s">
        <v>31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 customFormat="false" ht="21.75" hidden="false" customHeight="true" outlineLevel="0" collapsed="false">
      <c r="A81" s="22" t="str">
        <f aca="false">IF(OR(D81&lt;&gt;"",E81&lt;&gt;""),"["&amp;$B$2&amp;"-"&amp;TEXT(ROW()-7-COUNTBLANK($E$8:E81),"##")&amp;"]","")</f>
        <v>[OCR-64]</v>
      </c>
      <c r="B81" s="23" t="s">
        <v>261</v>
      </c>
      <c r="C81" s="23" t="s">
        <v>262</v>
      </c>
      <c r="D81" s="23" t="s">
        <v>259</v>
      </c>
      <c r="E81" s="23" t="s">
        <v>263</v>
      </c>
      <c r="F81" s="25" t="s">
        <v>50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 customFormat="false" ht="21.75" hidden="false" customHeight="true" outlineLevel="0" collapsed="false">
      <c r="A82" s="21" t="s">
        <v>264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 customFormat="false" ht="48" hidden="false" customHeight="true" outlineLevel="0" collapsed="false">
      <c r="A83" s="22" t="str">
        <f aca="false">IF(OR(D83&lt;&gt;"",E83&lt;&gt;""),"["&amp;$B$2&amp;"-"&amp;TEXT(ROW()-7-COUNTBLANK($E$8:E83),"##")&amp;"]","")</f>
        <v>[OCR-65]</v>
      </c>
      <c r="B83" s="23" t="s">
        <v>265</v>
      </c>
      <c r="C83" s="23" t="s">
        <v>266</v>
      </c>
      <c r="D83" s="23" t="s">
        <v>267</v>
      </c>
      <c r="E83" s="23" t="s">
        <v>268</v>
      </c>
      <c r="F83" s="24" t="s">
        <v>31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customFormat="false" ht="48" hidden="false" customHeight="true" outlineLevel="0" collapsed="false">
      <c r="A84" s="22" t="str">
        <f aca="false">IF(OR(D84&lt;&gt;"",E84&lt;&gt;""),"["&amp;$B$2&amp;"-"&amp;TEXT(ROW()-7-COUNTBLANK($E$8:E84),"##")&amp;"]","")</f>
        <v>[OCR-66]</v>
      </c>
      <c r="B84" s="23" t="s">
        <v>269</v>
      </c>
      <c r="C84" s="23" t="s">
        <v>270</v>
      </c>
      <c r="D84" s="23" t="s">
        <v>271</v>
      </c>
      <c r="E84" s="23" t="s">
        <v>272</v>
      </c>
      <c r="F84" s="24" t="s">
        <v>31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 customFormat="false" ht="48" hidden="false" customHeight="true" outlineLevel="0" collapsed="false">
      <c r="A85" s="22" t="str">
        <f aca="false">IF(OR(D85&lt;&gt;"",E85&lt;&gt;""),"["&amp;$B$2&amp;"-"&amp;TEXT(ROW()-7-COUNTBLANK($E$8:E85),"##")&amp;"]","")</f>
        <v>[OCR-67]</v>
      </c>
      <c r="B85" s="23" t="s">
        <v>273</v>
      </c>
      <c r="C85" s="23" t="s">
        <v>274</v>
      </c>
      <c r="D85" s="23" t="s">
        <v>275</v>
      </c>
      <c r="E85" s="23" t="s">
        <v>276</v>
      </c>
      <c r="F85" s="24" t="s">
        <v>31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 customFormat="false" ht="31.5" hidden="false" customHeight="true" outlineLevel="0" collapsed="false">
      <c r="A86" s="22" t="str">
        <f aca="false">IF(OR(D86&lt;&gt;"",E86&lt;&gt;""),"["&amp;$B$2&amp;"-"&amp;TEXT(ROW()-7-COUNTBLANK($E$8:E86),"##")&amp;"]","")</f>
        <v>[OCR-68]</v>
      </c>
      <c r="B86" s="23" t="s">
        <v>277</v>
      </c>
      <c r="C86" s="23" t="s">
        <v>278</v>
      </c>
      <c r="D86" s="23" t="s">
        <v>279</v>
      </c>
      <c r="E86" s="23" t="s">
        <v>280</v>
      </c>
      <c r="F86" s="26" t="s">
        <v>90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 customFormat="false" ht="21.75" hidden="false" customHeight="true" outlineLevel="0" collapsed="false">
      <c r="A87" s="21" t="s">
        <v>281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customFormat="false" ht="21.75" hidden="false" customHeight="true" outlineLevel="0" collapsed="false">
      <c r="A88" s="22" t="str">
        <f aca="false">IF(OR(D88&lt;&gt;"",E88&lt;&gt;""),"["&amp;$B$2&amp;"-"&amp;TEXT(ROW()-7-COUNTBLANK($E$8:E88),"##")&amp;"]","")</f>
        <v>[OCR-69]</v>
      </c>
      <c r="B88" s="23" t="s">
        <v>282</v>
      </c>
      <c r="C88" s="23" t="s">
        <v>283</v>
      </c>
      <c r="D88" s="23" t="s">
        <v>284</v>
      </c>
      <c r="E88" s="23" t="s">
        <v>285</v>
      </c>
      <c r="F88" s="25" t="s">
        <v>50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customFormat="false" ht="48" hidden="false" customHeight="true" outlineLevel="0" collapsed="false">
      <c r="A89" s="22" t="str">
        <f aca="false">IF(OR(D89&lt;&gt;"",E89&lt;&gt;""),"["&amp;$B$2&amp;"-"&amp;TEXT(ROW()-7-COUNTBLANK($E$8:E89),"##")&amp;"]","")</f>
        <v>[OCR-70]</v>
      </c>
      <c r="B89" s="23" t="s">
        <v>286</v>
      </c>
      <c r="C89" s="23" t="s">
        <v>287</v>
      </c>
      <c r="D89" s="23" t="s">
        <v>288</v>
      </c>
      <c r="E89" s="23" t="s">
        <v>289</v>
      </c>
      <c r="F89" s="24" t="s">
        <v>31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 customFormat="false" ht="21.75" hidden="false" customHeight="true" outlineLevel="0" collapsed="false">
      <c r="A90" s="21" t="s">
        <v>290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customFormat="false" ht="79.5" hidden="false" customHeight="true" outlineLevel="0" collapsed="false">
      <c r="A91" s="22" t="str">
        <f aca="false">IF(OR(D91&lt;&gt;"",E91&lt;&gt;""),"["&amp;$B$2&amp;"-"&amp;TEXT(ROW()-7-COUNTBLANK($E$8:E91),"##")&amp;"]","")</f>
        <v>[OCR-71]</v>
      </c>
      <c r="B91" s="23" t="s">
        <v>291</v>
      </c>
      <c r="C91" s="23" t="s">
        <v>292</v>
      </c>
      <c r="D91" s="23" t="s">
        <v>293</v>
      </c>
      <c r="E91" s="23" t="s">
        <v>294</v>
      </c>
      <c r="F91" s="24" t="s">
        <v>31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 customFormat="false" ht="79.5" hidden="false" customHeight="true" outlineLevel="0" collapsed="false">
      <c r="A92" s="22" t="str">
        <f aca="false">IF(OR(D92&lt;&gt;"",E92&lt;&gt;""),"["&amp;$B$2&amp;"-"&amp;TEXT(ROW()-7-COUNTBLANK($E$8:E92),"##")&amp;"]","")</f>
        <v>[OCR-72]</v>
      </c>
      <c r="B92" s="23" t="s">
        <v>295</v>
      </c>
      <c r="C92" s="23" t="s">
        <v>296</v>
      </c>
      <c r="D92" s="23" t="s">
        <v>297</v>
      </c>
      <c r="E92" s="23" t="s">
        <v>298</v>
      </c>
      <c r="F92" s="24" t="s">
        <v>31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 customFormat="false" ht="48" hidden="false" customHeight="true" outlineLevel="0" collapsed="false">
      <c r="A93" s="22" t="str">
        <f aca="false">IF(OR(D93&lt;&gt;"",E93&lt;&gt;""),"["&amp;$B$2&amp;"-"&amp;TEXT(ROW()-7-COUNTBLANK($E$8:E93),"##")&amp;"]","")</f>
        <v>[OCR-73]</v>
      </c>
      <c r="B93" s="23" t="s">
        <v>299</v>
      </c>
      <c r="C93" s="23" t="s">
        <v>300</v>
      </c>
      <c r="D93" s="23" t="s">
        <v>301</v>
      </c>
      <c r="E93" s="23" t="s">
        <v>302</v>
      </c>
      <c r="F93" s="25" t="s">
        <v>50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 customFormat="false" ht="21.75" hidden="false" customHeight="true" outlineLevel="0" collapsed="false">
      <c r="A94" s="22" t="str">
        <f aca="false">IF(OR(D94&lt;&gt;"",E94&lt;&gt;""),"["&amp;$B$2&amp;"-"&amp;TEXT(ROW()-7-COUNTBLANK($E$8:E94),"##")&amp;"]","")</f>
        <v>[OCR-74]</v>
      </c>
      <c r="B94" s="23" t="s">
        <v>303</v>
      </c>
      <c r="C94" s="23" t="s">
        <v>304</v>
      </c>
      <c r="D94" s="23" t="s">
        <v>85</v>
      </c>
      <c r="E94" s="23" t="s">
        <v>305</v>
      </c>
      <c r="F94" s="25" t="s">
        <v>50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 customFormat="false" ht="31.5" hidden="false" customHeight="true" outlineLevel="0" collapsed="false">
      <c r="A95" s="22" t="str">
        <f aca="false">IF(OR(D95&lt;&gt;"",E95&lt;&gt;""),"["&amp;$B$2&amp;"-"&amp;TEXT(ROW()-7-COUNTBLANK($E$8:E95),"##")&amp;"]","")</f>
        <v>[OCR-75]</v>
      </c>
      <c r="B95" s="23" t="s">
        <v>306</v>
      </c>
      <c r="C95" s="23" t="s">
        <v>307</v>
      </c>
      <c r="D95" s="23" t="s">
        <v>308</v>
      </c>
      <c r="E95" s="23" t="s">
        <v>309</v>
      </c>
      <c r="F95" s="25" t="s">
        <v>50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 customFormat="false" ht="21.75" hidden="false" customHeight="true" outlineLevel="0" collapsed="false">
      <c r="A96" s="21" t="s">
        <v>310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customFormat="false" ht="63.75" hidden="false" customHeight="true" outlineLevel="0" collapsed="false">
      <c r="A97" s="22" t="str">
        <f aca="false">IF(OR(D97&lt;&gt;"",E97&lt;&gt;""),"["&amp;$B$2&amp;"-"&amp;TEXT(ROW()-7-COUNTBLANK($E$8:E97),"##")&amp;"]","")</f>
        <v>[OCR-76]</v>
      </c>
      <c r="B97" s="23" t="s">
        <v>311</v>
      </c>
      <c r="C97" s="23" t="s">
        <v>312</v>
      </c>
      <c r="D97" s="23" t="s">
        <v>313</v>
      </c>
      <c r="E97" s="23" t="s">
        <v>314</v>
      </c>
      <c r="F97" s="25" t="s">
        <v>50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 customFormat="false" ht="63.75" hidden="false" customHeight="true" outlineLevel="0" collapsed="false">
      <c r="A98" s="22" t="str">
        <f aca="false">IF(OR(D98&lt;&gt;"",E98&lt;&gt;""),"["&amp;$B$2&amp;"-"&amp;TEXT(ROW()-7-COUNTBLANK($E$8:E98),"##")&amp;"]","")</f>
        <v>[OCR-77]</v>
      </c>
      <c r="B98" s="23" t="s">
        <v>315</v>
      </c>
      <c r="C98" s="23" t="s">
        <v>316</v>
      </c>
      <c r="D98" s="23" t="s">
        <v>317</v>
      </c>
      <c r="E98" s="23" t="s">
        <v>318</v>
      </c>
      <c r="F98" s="24" t="s">
        <v>31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 customFormat="false" ht="21.75" hidden="false" customHeight="true" outlineLevel="0" collapsed="false">
      <c r="A99" s="21" t="s">
        <v>319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customFormat="false" ht="175.5" hidden="false" customHeight="true" outlineLevel="0" collapsed="false">
      <c r="A100" s="22" t="str">
        <f aca="false">IF(OR(D100&lt;&gt;"",E100&lt;&gt;""),"["&amp;$B$2&amp;"-"&amp;TEXT(ROW()-7-COUNTBLANK($E$8:E100),"##")&amp;"]","")</f>
        <v>[OCR-78]</v>
      </c>
      <c r="B100" s="23" t="s">
        <v>320</v>
      </c>
      <c r="C100" s="23" t="s">
        <v>321</v>
      </c>
      <c r="D100" s="23" t="s">
        <v>322</v>
      </c>
      <c r="E100" s="23" t="s">
        <v>323</v>
      </c>
      <c r="F100" s="24" t="s">
        <v>31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 customFormat="false" ht="31.5" hidden="false" customHeight="true" outlineLevel="0" collapsed="false">
      <c r="A101" s="22" t="str">
        <f aca="false">IF(OR(D101&lt;&gt;"",E101&lt;&gt;""),"["&amp;$B$2&amp;"-"&amp;TEXT(ROW()-7-COUNTBLANK($E$8:E101),"##")&amp;"]","")</f>
        <v>[OCR-79]</v>
      </c>
      <c r="B101" s="23" t="s">
        <v>324</v>
      </c>
      <c r="C101" s="23" t="s">
        <v>325</v>
      </c>
      <c r="D101" s="23" t="s">
        <v>326</v>
      </c>
      <c r="E101" s="23" t="s">
        <v>327</v>
      </c>
      <c r="F101" s="25" t="s">
        <v>50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 customFormat="false" ht="21.75" hidden="false" customHeight="true" outlineLevel="0" collapsed="false">
      <c r="A102" s="22" t="str">
        <f aca="false">IF(OR(D102&lt;&gt;"",E102&lt;&gt;""),"["&amp;$B$2&amp;"-"&amp;TEXT(ROW()-7-COUNTBLANK($E$8:E102),"##")&amp;"]","")</f>
        <v>[OCR-80]</v>
      </c>
      <c r="B102" s="23" t="s">
        <v>328</v>
      </c>
      <c r="C102" s="23" t="s">
        <v>312</v>
      </c>
      <c r="D102" s="23" t="s">
        <v>329</v>
      </c>
      <c r="E102" s="23" t="s">
        <v>330</v>
      </c>
      <c r="F102" s="24" t="s">
        <v>31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 customFormat="false" ht="21.75" hidden="false" customHeight="true" outlineLevel="0" collapsed="false">
      <c r="A103" s="22" t="str">
        <f aca="false">IF(OR(D103&lt;&gt;"",E103&lt;&gt;""),"["&amp;$B$2&amp;"-"&amp;TEXT(ROW()-7-COUNTBLANK($E$8:E103),"##")&amp;"]","")</f>
        <v>[OCR-81]</v>
      </c>
      <c r="B103" s="23" t="s">
        <v>331</v>
      </c>
      <c r="C103" s="23" t="s">
        <v>312</v>
      </c>
      <c r="D103" s="23" t="s">
        <v>332</v>
      </c>
      <c r="E103" s="23" t="s">
        <v>333</v>
      </c>
      <c r="F103" s="24" t="s">
        <v>31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 customFormat="false" ht="31.5" hidden="false" customHeight="true" outlineLevel="0" collapsed="false">
      <c r="A104" s="22" t="str">
        <f aca="false">IF(OR(D104&lt;&gt;"",E104&lt;&gt;""),"["&amp;$B$2&amp;"-"&amp;TEXT(ROW()-7-COUNTBLANK($E$8:E104),"##")&amp;"]","")</f>
        <v>[OCR-82]</v>
      </c>
      <c r="B104" s="23" t="s">
        <v>334</v>
      </c>
      <c r="C104" s="23" t="s">
        <v>312</v>
      </c>
      <c r="D104" s="23" t="s">
        <v>335</v>
      </c>
      <c r="E104" s="23" t="s">
        <v>336</v>
      </c>
      <c r="F104" s="24" t="s">
        <v>31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 customFormat="false" ht="21.75" hidden="false" customHeight="true" outlineLevel="0" collapsed="false">
      <c r="A105" s="21" t="s">
        <v>337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customFormat="false" ht="21.75" hidden="false" customHeight="true" outlineLevel="0" collapsed="false">
      <c r="A106" s="22" t="str">
        <f aca="false">IF(OR(D106&lt;&gt;"",E106&lt;&gt;""),"["&amp;$B$2&amp;"-"&amp;TEXT(ROW()-7-COUNTBLANK($E$8:E106),"##")&amp;"]","")</f>
        <v>[OCR-83]</v>
      </c>
      <c r="B106" s="23" t="s">
        <v>338</v>
      </c>
      <c r="C106" s="23" t="s">
        <v>312</v>
      </c>
      <c r="D106" s="23" t="s">
        <v>339</v>
      </c>
      <c r="E106" s="23" t="s">
        <v>340</v>
      </c>
      <c r="F106" s="24" t="s">
        <v>31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 customFormat="false" ht="21.75" hidden="false" customHeight="true" outlineLevel="0" collapsed="false">
      <c r="A107" s="22" t="str">
        <f aca="false">IF(OR(D107&lt;&gt;"",E107&lt;&gt;""),"["&amp;$B$2&amp;"-"&amp;TEXT(ROW()-7-COUNTBLANK($E$8:E107),"##")&amp;"]","")</f>
        <v>[OCR-84]</v>
      </c>
      <c r="B107" s="23" t="s">
        <v>341</v>
      </c>
      <c r="C107" s="23" t="s">
        <v>312</v>
      </c>
      <c r="D107" s="23" t="s">
        <v>342</v>
      </c>
      <c r="E107" s="23" t="s">
        <v>343</v>
      </c>
      <c r="F107" s="24" t="s">
        <v>31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 customFormat="false" ht="21.75" hidden="false" customHeight="true" outlineLevel="0" collapsed="false">
      <c r="A108" s="22" t="str">
        <f aca="false">IF(OR(D108&lt;&gt;"",E108&lt;&gt;""),"["&amp;$B$2&amp;"-"&amp;TEXT(ROW()-7-COUNTBLANK($E$8:E108),"##")&amp;"]","")</f>
        <v>[OCR-85]</v>
      </c>
      <c r="B108" s="23" t="s">
        <v>344</v>
      </c>
      <c r="C108" s="23" t="s">
        <v>185</v>
      </c>
      <c r="D108" s="23" t="s">
        <v>345</v>
      </c>
      <c r="E108" s="23" t="s">
        <v>346</v>
      </c>
      <c r="F108" s="25" t="s">
        <v>50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 customFormat="false" ht="21.75" hidden="false" customHeight="true" outlineLevel="0" collapsed="false">
      <c r="A109" s="22" t="str">
        <f aca="false">IF(OR(D109&lt;&gt;"",E109&lt;&gt;""),"["&amp;$B$2&amp;"-"&amp;TEXT(ROW()-7-COUNTBLANK($E$8:E109),"##")&amp;"]","")</f>
        <v>[OCR-86]</v>
      </c>
      <c r="B109" s="23" t="s">
        <v>347</v>
      </c>
      <c r="C109" s="23" t="s">
        <v>312</v>
      </c>
      <c r="D109" s="23" t="s">
        <v>348</v>
      </c>
      <c r="E109" s="23" t="s">
        <v>349</v>
      </c>
      <c r="F109" s="24" t="s">
        <v>31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 customFormat="false" ht="21.75" hidden="false" customHeight="true" outlineLevel="0" collapsed="false">
      <c r="A110" s="22" t="str">
        <f aca="false">IF(OR(D110&lt;&gt;"",E110&lt;&gt;""),"["&amp;$B$2&amp;"-"&amp;TEXT(ROW()-7-COUNTBLANK($E$8:E110),"##")&amp;"]","")</f>
        <v>[OCR-87]</v>
      </c>
      <c r="B110" s="23" t="s">
        <v>350</v>
      </c>
      <c r="C110" s="23" t="s">
        <v>312</v>
      </c>
      <c r="D110" s="23" t="s">
        <v>351</v>
      </c>
      <c r="E110" s="23" t="s">
        <v>352</v>
      </c>
      <c r="F110" s="24" t="s">
        <v>31</v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 customFormat="false" ht="21.75" hidden="false" customHeight="true" outlineLevel="0" collapsed="false">
      <c r="A111" s="22" t="str">
        <f aca="false">IF(OR(D111&lt;&gt;"",E111&lt;&gt;""),"["&amp;$B$2&amp;"-"&amp;TEXT(ROW()-7-COUNTBLANK($E$8:E111),"##")&amp;"]","")</f>
        <v>[OCR-88]</v>
      </c>
      <c r="B111" s="23" t="s">
        <v>353</v>
      </c>
      <c r="C111" s="23" t="s">
        <v>312</v>
      </c>
      <c r="D111" s="23" t="s">
        <v>354</v>
      </c>
      <c r="E111" s="23" t="s">
        <v>355</v>
      </c>
      <c r="F111" s="24" t="s">
        <v>31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 customFormat="false" ht="48" hidden="false" customHeight="true" outlineLevel="0" collapsed="false">
      <c r="A112" s="22" t="str">
        <f aca="false">IF(OR(D112&lt;&gt;"",E112&lt;&gt;""),"["&amp;$B$2&amp;"-"&amp;TEXT(ROW()-7-COUNTBLANK($E$8:E112),"##")&amp;"]","")</f>
        <v>[OCR-89]</v>
      </c>
      <c r="B112" s="23" t="s">
        <v>356</v>
      </c>
      <c r="C112" s="23" t="s">
        <v>312</v>
      </c>
      <c r="D112" s="23" t="s">
        <v>357</v>
      </c>
      <c r="E112" s="23" t="s">
        <v>358</v>
      </c>
      <c r="F112" s="25" t="s">
        <v>50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 customFormat="false" ht="21.75" hidden="false" customHeight="true" outlineLevel="0" collapsed="false">
      <c r="A113" s="21" t="s">
        <v>359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customFormat="false" ht="31.5" hidden="false" customHeight="true" outlineLevel="0" collapsed="false">
      <c r="A114" s="22" t="str">
        <f aca="false">IF(OR(D114&lt;&gt;"",E114&lt;&gt;""),"["&amp;$B$2&amp;"-"&amp;TEXT(ROW()-7-COUNTBLANK($E$8:E114),"##")&amp;"]","")</f>
        <v>[OCR-90]</v>
      </c>
      <c r="B114" s="23" t="s">
        <v>360</v>
      </c>
      <c r="C114" s="23" t="s">
        <v>361</v>
      </c>
      <c r="D114" s="23" t="s">
        <v>362</v>
      </c>
      <c r="E114" s="23" t="s">
        <v>363</v>
      </c>
      <c r="F114" s="24" t="s">
        <v>31</v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 customFormat="false" ht="79.5" hidden="false" customHeight="true" outlineLevel="0" collapsed="false">
      <c r="A115" s="22" t="str">
        <f aca="false">IF(OR(D115&lt;&gt;"",E115&lt;&gt;""),"["&amp;$B$2&amp;"-"&amp;TEXT(ROW()-7-COUNTBLANK($E$8:E115),"##")&amp;"]","")</f>
        <v>[OCR-91]</v>
      </c>
      <c r="B115" s="23" t="s">
        <v>364</v>
      </c>
      <c r="C115" s="23" t="s">
        <v>365</v>
      </c>
      <c r="D115" s="23" t="s">
        <v>366</v>
      </c>
      <c r="E115" s="23" t="s">
        <v>367</v>
      </c>
      <c r="F115" s="24" t="s">
        <v>31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 customFormat="false" ht="21.75" hidden="false" customHeight="true" outlineLevel="0" collapsed="false">
      <c r="A116" s="21" t="s">
        <v>368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customFormat="false" ht="31.5" hidden="false" customHeight="true" outlineLevel="0" collapsed="false">
      <c r="A117" s="22" t="str">
        <f aca="false">IF(OR(D117&lt;&gt;"",E117&lt;&gt;""),"["&amp;$B$2&amp;"-"&amp;TEXT(ROW()-7-COUNTBLANK($E$8:E117),"##")&amp;"]","")</f>
        <v>[OCR-92]</v>
      </c>
      <c r="B117" s="23" t="s">
        <v>369</v>
      </c>
      <c r="C117" s="23" t="s">
        <v>370</v>
      </c>
      <c r="D117" s="23" t="s">
        <v>371</v>
      </c>
      <c r="E117" s="23" t="s">
        <v>372</v>
      </c>
      <c r="F117" s="24" t="s">
        <v>31</v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 customFormat="false" ht="31.5" hidden="false" customHeight="true" outlineLevel="0" collapsed="false">
      <c r="A118" s="22" t="str">
        <f aca="false">IF(OR(D118&lt;&gt;"",E118&lt;&gt;""),"["&amp;$B$2&amp;"-"&amp;TEXT(ROW()-7-COUNTBLANK($E$8:E118),"##")&amp;"]","")</f>
        <v>[OCR-93]</v>
      </c>
      <c r="B118" s="23" t="s">
        <v>373</v>
      </c>
      <c r="C118" s="23" t="s">
        <v>312</v>
      </c>
      <c r="D118" s="23" t="s">
        <v>374</v>
      </c>
      <c r="E118" s="23" t="s">
        <v>375</v>
      </c>
      <c r="F118" s="24" t="s">
        <v>31</v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 customFormat="false" ht="21.75" hidden="false" customHeight="true" outlineLevel="0" collapsed="false">
      <c r="A119" s="22" t="str">
        <f aca="false">IF(OR(D119&lt;&gt;"",E119&lt;&gt;""),"["&amp;$B$2&amp;"-"&amp;TEXT(ROW()-7-COUNTBLANK($E$8:E119),"##")&amp;"]","")</f>
        <v>[OCR-94]</v>
      </c>
      <c r="B119" s="23" t="s">
        <v>376</v>
      </c>
      <c r="C119" s="23" t="s">
        <v>377</v>
      </c>
      <c r="D119" s="23" t="s">
        <v>378</v>
      </c>
      <c r="E119" s="23" t="s">
        <v>379</v>
      </c>
      <c r="F119" s="25" t="s">
        <v>50</v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 customFormat="false" ht="31.5" hidden="false" customHeight="true" outlineLevel="0" collapsed="false">
      <c r="A120" s="22" t="str">
        <f aca="false">IF(OR(D120&lt;&gt;"",E120&lt;&gt;""),"["&amp;$B$2&amp;"-"&amp;TEXT(ROW()-7-COUNTBLANK($E$8:E120),"##")&amp;"]","")</f>
        <v>[OCR-95]</v>
      </c>
      <c r="B120" s="23" t="s">
        <v>380</v>
      </c>
      <c r="C120" s="23" t="s">
        <v>312</v>
      </c>
      <c r="D120" s="23" t="s">
        <v>381</v>
      </c>
      <c r="E120" s="23" t="s">
        <v>382</v>
      </c>
      <c r="F120" s="25" t="s">
        <v>50</v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 customFormat="false" ht="31.5" hidden="false" customHeight="true" outlineLevel="0" collapsed="false">
      <c r="A121" s="22" t="str">
        <f aca="false">IF(OR(D121&lt;&gt;"",E121&lt;&gt;""),"["&amp;$B$2&amp;"-"&amp;TEXT(ROW()-7-COUNTBLANK($E$8:E121),"##")&amp;"]","")</f>
        <v>[OCR-96]</v>
      </c>
      <c r="B121" s="23" t="s">
        <v>383</v>
      </c>
      <c r="C121" s="23" t="s">
        <v>384</v>
      </c>
      <c r="D121" s="23" t="s">
        <v>385</v>
      </c>
      <c r="E121" s="23" t="s">
        <v>386</v>
      </c>
      <c r="F121" s="25" t="s">
        <v>50</v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 customFormat="false" ht="31.5" hidden="false" customHeight="true" outlineLevel="0" collapsed="false">
      <c r="A122" s="22" t="str">
        <f aca="false">IF(OR(D122&lt;&gt;"",E122&lt;&gt;""),"["&amp;$B$2&amp;"-"&amp;TEXT(ROW()-7-COUNTBLANK($E$8:E122),"##")&amp;"]","")</f>
        <v>[OCR-97]</v>
      </c>
      <c r="B122" s="23" t="s">
        <v>387</v>
      </c>
      <c r="C122" s="23" t="s">
        <v>388</v>
      </c>
      <c r="D122" s="23" t="s">
        <v>389</v>
      </c>
      <c r="E122" s="23" t="s">
        <v>390</v>
      </c>
      <c r="F122" s="25" t="s">
        <v>50</v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 customFormat="false" ht="21.75" hidden="false" customHeight="true" outlineLevel="0" collapsed="false">
      <c r="A123" s="21" t="s">
        <v>391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customFormat="false" ht="63.75" hidden="false" customHeight="true" outlineLevel="0" collapsed="false">
      <c r="A124" s="22" t="str">
        <f aca="false">IF(OR(D124&lt;&gt;"",E124&lt;&gt;""),"["&amp;$B$2&amp;"-"&amp;TEXT(ROW()-7-COUNTBLANK($E$8:E124),"##")&amp;"]","")</f>
        <v>[OCR-98]</v>
      </c>
      <c r="B124" s="23" t="s">
        <v>392</v>
      </c>
      <c r="C124" s="23" t="s">
        <v>393</v>
      </c>
      <c r="D124" s="23" t="s">
        <v>394</v>
      </c>
      <c r="E124" s="23" t="s">
        <v>395</v>
      </c>
      <c r="F124" s="24" t="s">
        <v>31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 customFormat="false" ht="79.5" hidden="false" customHeight="true" outlineLevel="0" collapsed="false">
      <c r="A125" s="22" t="str">
        <f aca="false">IF(OR(D125&lt;&gt;"",E125&lt;&gt;""),"["&amp;$B$2&amp;"-"&amp;TEXT(ROW()-7-COUNTBLANK($E$8:E125),"##")&amp;"]","")</f>
        <v>[OCR-99]</v>
      </c>
      <c r="B125" s="23" t="s">
        <v>396</v>
      </c>
      <c r="C125" s="23" t="s">
        <v>312</v>
      </c>
      <c r="D125" s="23" t="s">
        <v>397</v>
      </c>
      <c r="E125" s="23" t="s">
        <v>398</v>
      </c>
      <c r="F125" s="24" t="s">
        <v>31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 customFormat="false" ht="21.75" hidden="false" customHeight="true" outlineLevel="0" collapsed="false">
      <c r="A126" s="21" t="s">
        <v>399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 customFormat="false" ht="31.5" hidden="false" customHeight="true" outlineLevel="0" collapsed="false">
      <c r="A127" s="22" t="str">
        <f aca="false">IF(OR(D127&lt;&gt;"",E127&lt;&gt;""),"["&amp;$B$2&amp;"-"&amp;TEXT(ROW()-7-COUNTBLANK($E$8:E127),"##")&amp;"]","")</f>
        <v>[OCR-100]</v>
      </c>
      <c r="B127" s="23" t="s">
        <v>400</v>
      </c>
      <c r="C127" s="23" t="s">
        <v>312</v>
      </c>
      <c r="D127" s="23" t="s">
        <v>401</v>
      </c>
      <c r="E127" s="23" t="s">
        <v>402</v>
      </c>
      <c r="F127" s="24" t="s">
        <v>31</v>
      </c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 customFormat="false" ht="21.75" hidden="false" customHeight="true" outlineLevel="0" collapsed="false">
      <c r="A128" s="22" t="str">
        <f aca="false">IF(OR(D128&lt;&gt;"",E128&lt;&gt;""),"["&amp;$B$2&amp;"-"&amp;TEXT(ROW()-7-COUNTBLANK($E$8:E128),"##")&amp;"]","")</f>
        <v>[OCR-101]</v>
      </c>
      <c r="B128" s="23" t="s">
        <v>403</v>
      </c>
      <c r="C128" s="23" t="s">
        <v>404</v>
      </c>
      <c r="D128" s="23" t="s">
        <v>405</v>
      </c>
      <c r="E128" s="23" t="s">
        <v>406</v>
      </c>
      <c r="F128" s="24" t="s">
        <v>31</v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  <row r="129" customFormat="false" ht="21.75" hidden="false" customHeight="true" outlineLevel="0" collapsed="false">
      <c r="A129" s="22" t="str">
        <f aca="false">IF(OR(D129&lt;&gt;"",E129&lt;&gt;""),"["&amp;$B$2&amp;"-"&amp;TEXT(ROW()-7-COUNTBLANK($E$8:E129),"##")&amp;"]","")</f>
        <v>[OCR-102]</v>
      </c>
      <c r="B129" s="23" t="s">
        <v>407</v>
      </c>
      <c r="C129" s="23" t="s">
        <v>312</v>
      </c>
      <c r="D129" s="23" t="s">
        <v>408</v>
      </c>
      <c r="E129" s="23" t="s">
        <v>409</v>
      </c>
      <c r="F129" s="24" t="s">
        <v>31</v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</row>
    <row r="130" customFormat="false" ht="21.75" hidden="false" customHeight="true" outlineLevel="0" collapsed="false">
      <c r="A130" s="22" t="str">
        <f aca="false">IF(OR(D130&lt;&gt;"",E130&lt;&gt;""),"["&amp;$B$2&amp;"-"&amp;TEXT(ROW()-7-COUNTBLANK($E$8:E130),"##")&amp;"]","")</f>
        <v>[OCR-103]</v>
      </c>
      <c r="B130" s="23" t="s">
        <v>410</v>
      </c>
      <c r="C130" s="23" t="s">
        <v>312</v>
      </c>
      <c r="D130" s="23" t="s">
        <v>411</v>
      </c>
      <c r="E130" s="23" t="s">
        <v>412</v>
      </c>
      <c r="F130" s="25" t="s">
        <v>50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</row>
    <row r="131" customFormat="false" ht="31.5" hidden="false" customHeight="true" outlineLevel="0" collapsed="false">
      <c r="A131" s="22" t="str">
        <f aca="false">IF(OR(D131&lt;&gt;"",E131&lt;&gt;""),"["&amp;$B$2&amp;"-"&amp;TEXT(ROW()-7-COUNTBLANK($E$8:E131),"##")&amp;"]","")</f>
        <v>[OCR-104]</v>
      </c>
      <c r="B131" s="23" t="s">
        <v>413</v>
      </c>
      <c r="C131" s="23" t="s">
        <v>414</v>
      </c>
      <c r="D131" s="23" t="s">
        <v>415</v>
      </c>
      <c r="E131" s="23" t="s">
        <v>416</v>
      </c>
      <c r="F131" s="24" t="s">
        <v>31</v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</row>
    <row r="132" customFormat="false" ht="21.75" hidden="false" customHeight="true" outlineLevel="0" collapsed="false">
      <c r="A132" s="21" t="s">
        <v>417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 customFormat="false" ht="48" hidden="false" customHeight="true" outlineLevel="0" collapsed="false">
      <c r="A133" s="22" t="str">
        <f aca="false">IF(OR(D133&lt;&gt;"",E133&lt;&gt;""),"["&amp;$B$2&amp;"-"&amp;TEXT(ROW()-7-COUNTBLANK($E$8:E133),"##")&amp;"]","")</f>
        <v>[OCR-105]</v>
      </c>
      <c r="B133" s="23" t="s">
        <v>418</v>
      </c>
      <c r="C133" s="23" t="s">
        <v>419</v>
      </c>
      <c r="D133" s="23" t="s">
        <v>420</v>
      </c>
      <c r="E133" s="23" t="s">
        <v>421</v>
      </c>
      <c r="F133" s="24" t="s">
        <v>31</v>
      </c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</row>
    <row r="134" customFormat="false" ht="31.5" hidden="false" customHeight="true" outlineLevel="0" collapsed="false">
      <c r="A134" s="22" t="str">
        <f aca="false">IF(OR(D134&lt;&gt;"",E134&lt;&gt;""),"["&amp;$B$2&amp;"-"&amp;TEXT(ROW()-7-COUNTBLANK($E$8:E134),"##")&amp;"]","")</f>
        <v>[OCR-106]</v>
      </c>
      <c r="B134" s="23" t="s">
        <v>422</v>
      </c>
      <c r="C134" s="23" t="s">
        <v>312</v>
      </c>
      <c r="D134" s="23" t="s">
        <v>423</v>
      </c>
      <c r="E134" s="23" t="s">
        <v>424</v>
      </c>
      <c r="F134" s="25" t="s">
        <v>50</v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</row>
    <row r="135" customFormat="false" ht="21.75" hidden="false" customHeight="true" outlineLevel="0" collapsed="false">
      <c r="A135" s="22" t="str">
        <f aca="false">IF(OR(D135&lt;&gt;"",E135&lt;&gt;""),"["&amp;$B$2&amp;"-"&amp;TEXT(ROW()-7-COUNTBLANK($E$8:E135),"##")&amp;"]","")</f>
        <v>[OCR-107]</v>
      </c>
      <c r="B135" s="23" t="s">
        <v>425</v>
      </c>
      <c r="C135" s="23" t="s">
        <v>312</v>
      </c>
      <c r="D135" s="23" t="s">
        <v>426</v>
      </c>
      <c r="E135" s="23" t="s">
        <v>427</v>
      </c>
      <c r="F135" s="26" t="s">
        <v>90</v>
      </c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</row>
    <row r="136" customFormat="false" ht="21.75" hidden="false" customHeight="true" outlineLevel="0" collapsed="false">
      <c r="A136" s="21" t="s">
        <v>428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 customFormat="false" ht="159.75" hidden="false" customHeight="true" outlineLevel="0" collapsed="false">
      <c r="A137" s="22" t="str">
        <f aca="false">IF(OR(D137&lt;&gt;"",E137&lt;&gt;""),"["&amp;$B$2&amp;"-"&amp;TEXT(ROW()-7-COUNTBLANK($E$8:E137),"##")&amp;"]","")</f>
        <v>[OCR-108]</v>
      </c>
      <c r="B137" s="23" t="s">
        <v>429</v>
      </c>
      <c r="C137" s="23" t="s">
        <v>430</v>
      </c>
      <c r="D137" s="23" t="s">
        <v>431</v>
      </c>
      <c r="E137" s="23" t="s">
        <v>432</v>
      </c>
      <c r="F137" s="24" t="s">
        <v>31</v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 customFormat="false" ht="21.75" hidden="false" customHeight="true" outlineLevel="0" collapsed="false">
      <c r="A138" s="21" t="s">
        <v>433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 customFormat="false" ht="48" hidden="false" customHeight="true" outlineLevel="0" collapsed="false">
      <c r="A139" s="22" t="str">
        <f aca="false">IF(OR(D139&lt;&gt;"",E139&lt;&gt;""),"["&amp;$B$2&amp;"-"&amp;TEXT(ROW()-7-COUNTBLANK($E$8:E139),"##")&amp;"]","")</f>
        <v>[OCR-109]</v>
      </c>
      <c r="B139" s="23" t="s">
        <v>434</v>
      </c>
      <c r="C139" s="23" t="s">
        <v>435</v>
      </c>
      <c r="D139" s="23" t="s">
        <v>436</v>
      </c>
      <c r="E139" s="23" t="s">
        <v>437</v>
      </c>
      <c r="F139" s="24" t="s">
        <v>31</v>
      </c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 customFormat="false" ht="63.75" hidden="false" customHeight="true" outlineLevel="0" collapsed="false">
      <c r="A140" s="22" t="str">
        <f aca="false">IF(OR(D140&lt;&gt;"",E140&lt;&gt;""),"["&amp;$B$2&amp;"-"&amp;TEXT(ROW()-7-COUNTBLANK($E$8:E140),"##")&amp;"]","")</f>
        <v>[OCR-110]</v>
      </c>
      <c r="B140" s="23" t="s">
        <v>438</v>
      </c>
      <c r="C140" s="23" t="s">
        <v>439</v>
      </c>
      <c r="D140" s="23" t="s">
        <v>440</v>
      </c>
      <c r="E140" s="23" t="s">
        <v>441</v>
      </c>
      <c r="F140" s="25" t="s">
        <v>50</v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1" customFormat="false" ht="21.75" hidden="false" customHeight="true" outlineLevel="0" collapsed="false">
      <c r="A141" s="21" t="s">
        <v>442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 customFormat="false" ht="63.75" hidden="false" customHeight="true" outlineLevel="0" collapsed="false">
      <c r="A142" s="22" t="str">
        <f aca="false">IF(OR(D142&lt;&gt;"",E142&lt;&gt;""),"["&amp;$B$2&amp;"-"&amp;TEXT(ROW()-7-COUNTBLANK($E$8:E142),"##")&amp;"]","")</f>
        <v>[OCR-111]</v>
      </c>
      <c r="B142" s="23" t="s">
        <v>443</v>
      </c>
      <c r="C142" s="23" t="s">
        <v>444</v>
      </c>
      <c r="D142" s="23" t="s">
        <v>445</v>
      </c>
      <c r="E142" s="23" t="s">
        <v>446</v>
      </c>
      <c r="F142" s="24" t="s">
        <v>31</v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</row>
    <row r="143" customFormat="false" ht="31.5" hidden="false" customHeight="true" outlineLevel="0" collapsed="false">
      <c r="A143" s="22" t="str">
        <f aca="false">IF(OR(D143&lt;&gt;"",E143&lt;&gt;""),"["&amp;$B$2&amp;"-"&amp;TEXT(ROW()-7-COUNTBLANK($E$8:E143),"##")&amp;"]","")</f>
        <v>[OCR-112]</v>
      </c>
      <c r="B143" s="23" t="s">
        <v>447</v>
      </c>
      <c r="C143" s="23" t="s">
        <v>448</v>
      </c>
      <c r="D143" s="23" t="s">
        <v>449</v>
      </c>
      <c r="E143" s="23" t="s">
        <v>450</v>
      </c>
      <c r="F143" s="24" t="s">
        <v>31</v>
      </c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</row>
    <row r="144" customFormat="false" ht="21.75" hidden="false" customHeight="true" outlineLevel="0" collapsed="false">
      <c r="A144" s="21" t="s">
        <v>451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 customFormat="false" ht="63.75" hidden="false" customHeight="true" outlineLevel="0" collapsed="false">
      <c r="A145" s="22" t="str">
        <f aca="false">IF(OR(D145&lt;&gt;"",E145&lt;&gt;""),"["&amp;$B$2&amp;"-"&amp;TEXT(ROW()-7-COUNTBLANK($E$8:E145),"##")&amp;"]","")</f>
        <v>[OCR-113]</v>
      </c>
      <c r="B145" s="23" t="s">
        <v>452</v>
      </c>
      <c r="C145" s="23" t="s">
        <v>453</v>
      </c>
      <c r="D145" s="23" t="s">
        <v>454</v>
      </c>
      <c r="E145" s="23" t="s">
        <v>455</v>
      </c>
      <c r="F145" s="24" t="s">
        <v>31</v>
      </c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</row>
    <row r="146" customFormat="false" ht="63.75" hidden="false" customHeight="true" outlineLevel="0" collapsed="false">
      <c r="A146" s="22" t="str">
        <f aca="false">IF(OR(D146&lt;&gt;"",E146&lt;&gt;""),"["&amp;$B$2&amp;"-"&amp;TEXT(ROW()-7-COUNTBLANK($E$8:E146),"##")&amp;"]","")</f>
        <v>[OCR-114]</v>
      </c>
      <c r="B146" s="23" t="s">
        <v>456</v>
      </c>
      <c r="C146" s="23" t="s">
        <v>457</v>
      </c>
      <c r="D146" s="23" t="s">
        <v>458</v>
      </c>
      <c r="E146" s="23" t="s">
        <v>459</v>
      </c>
      <c r="F146" s="25" t="s">
        <v>50</v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</row>
    <row r="147" customFormat="false" ht="63.75" hidden="false" customHeight="true" outlineLevel="0" collapsed="false">
      <c r="A147" s="22" t="str">
        <f aca="false">IF(OR(D147&lt;&gt;"",E147&lt;&gt;""),"["&amp;$B$2&amp;"-"&amp;TEXT(ROW()-7-COUNTBLANK($E$8:E147),"##")&amp;"]","")</f>
        <v>[OCR-115]</v>
      </c>
      <c r="B147" s="23" t="s">
        <v>460</v>
      </c>
      <c r="C147" s="23" t="s">
        <v>461</v>
      </c>
      <c r="D147" s="23" t="s">
        <v>462</v>
      </c>
      <c r="E147" s="23" t="s">
        <v>463</v>
      </c>
      <c r="F147" s="25" t="s">
        <v>50</v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 customFormat="false" ht="21.75" hidden="false" customHeight="true" outlineLevel="0" collapsed="false">
      <c r="A148" s="21" t="s">
        <v>464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 customFormat="false" ht="63.75" hidden="false" customHeight="true" outlineLevel="0" collapsed="false">
      <c r="A149" s="22" t="str">
        <f aca="false">IF(OR(D149&lt;&gt;"",E149&lt;&gt;""),"["&amp;$B$2&amp;"-"&amp;TEXT(ROW()-7-COUNTBLANK($E$8:E149),"##")&amp;"]","")</f>
        <v>[OCR-116]</v>
      </c>
      <c r="B149" s="23" t="s">
        <v>465</v>
      </c>
      <c r="C149" s="23" t="s">
        <v>466</v>
      </c>
      <c r="D149" s="23" t="s">
        <v>467</v>
      </c>
      <c r="E149" s="23" t="s">
        <v>468</v>
      </c>
      <c r="F149" s="24" t="s">
        <v>31</v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</row>
    <row r="150" customFormat="false" ht="48" hidden="false" customHeight="true" outlineLevel="0" collapsed="false">
      <c r="A150" s="22" t="str">
        <f aca="false">IF(OR(D150&lt;&gt;"",E150&lt;&gt;""),"["&amp;$B$2&amp;"-"&amp;TEXT(ROW()-7-COUNTBLANK($E$8:E150),"##")&amp;"]","")</f>
        <v>[OCR-117]</v>
      </c>
      <c r="B150" s="23" t="s">
        <v>469</v>
      </c>
      <c r="C150" s="23" t="s">
        <v>470</v>
      </c>
      <c r="D150" s="23" t="s">
        <v>471</v>
      </c>
      <c r="E150" s="23" t="s">
        <v>472</v>
      </c>
      <c r="F150" s="24" t="s">
        <v>31</v>
      </c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</row>
    <row r="151" customFormat="false" ht="63.75" hidden="false" customHeight="true" outlineLevel="0" collapsed="false">
      <c r="A151" s="22" t="str">
        <f aca="false">IF(OR(D151&lt;&gt;"",E151&lt;&gt;""),"["&amp;$B$2&amp;"-"&amp;TEXT(ROW()-7-COUNTBLANK($E$8:E151),"##")&amp;"]","")</f>
        <v>[OCR-118]</v>
      </c>
      <c r="B151" s="23" t="s">
        <v>473</v>
      </c>
      <c r="C151" s="23" t="s">
        <v>474</v>
      </c>
      <c r="D151" s="23" t="s">
        <v>475</v>
      </c>
      <c r="E151" s="23" t="s">
        <v>476</v>
      </c>
      <c r="F151" s="24" t="s">
        <v>31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</row>
    <row r="152" customFormat="false" ht="48" hidden="false" customHeight="true" outlineLevel="0" collapsed="false">
      <c r="A152" s="22" t="str">
        <f aca="false">IF(OR(D152&lt;&gt;"",E152&lt;&gt;""),"["&amp;$B$2&amp;"-"&amp;TEXT(ROW()-7-COUNTBLANK($E$8:E152),"##")&amp;"]","")</f>
        <v>[OCR-119]</v>
      </c>
      <c r="B152" s="23" t="s">
        <v>477</v>
      </c>
      <c r="C152" s="23" t="s">
        <v>478</v>
      </c>
      <c r="D152" s="23" t="s">
        <v>479</v>
      </c>
      <c r="E152" s="23" t="s">
        <v>480</v>
      </c>
      <c r="F152" s="24" t="s">
        <v>31</v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</row>
  </sheetData>
  <mergeCells count="12">
    <mergeCell ref="G2:K2"/>
    <mergeCell ref="L2:P2"/>
    <mergeCell ref="Q2:U2"/>
    <mergeCell ref="A6:A7"/>
    <mergeCell ref="B6:B7"/>
    <mergeCell ref="C6:C7"/>
    <mergeCell ref="D6:D7"/>
    <mergeCell ref="E6:E7"/>
    <mergeCell ref="F6:F7"/>
    <mergeCell ref="G6:K6"/>
    <mergeCell ref="L6:P6"/>
    <mergeCell ref="Q6:U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2026-05-09T17:10:26Z</dcterms:created>
  <dc:creator>openpyxl</dc:creator>
  <dc:description/>
  <dc:language>en-US</dc:language>
  <cp:lastModifiedBy/>
  <dcterms:modified xsi:type="dcterms:W3CDTF">2026-05-09T17:10:26Z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