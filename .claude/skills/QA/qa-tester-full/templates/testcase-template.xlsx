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e Na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<sst xmlns="http://schemas.openxmlformats.org/spreadsheetml/2006/main" count="48" uniqueCount="25">
  <si>
    <t xml:space="preserve">Module Code</t>
  </si>
  <si>
    <t xml:space="preserve">MODULE</t>
  </si>
  <si>
    <t xml:space="preserve">Round 1</t>
  </si>
  <si>
    <t xml:space="preserve">Round 2</t>
  </si>
  <si>
    <t xml:space="preserve">Round 3</t>
  </si>
  <si>
    <t xml:space="preserve">Total of Test cases Created</t>
  </si>
  <si>
    <t xml:space="preserve">% Executed round 1</t>
  </si>
  <si>
    <t xml:space="preserve">Pass</t>
  </si>
  <si>
    <t xml:space="preserve">Fail</t>
  </si>
  <si>
    <t xml:space="preserve">Impact</t>
  </si>
  <si>
    <t xml:space="preserve">Not Run</t>
  </si>
  <si>
    <t xml:space="preserve">Total</t>
  </si>
  <si>
    <t xml:space="preserve">Total of Test cases plan to Executed</t>
  </si>
  <si>
    <t xml:space="preserve">Creator</t>
  </si>
  <si>
    <t xml:space="preserve">ID</t>
  </si>
  <si>
    <t xml:space="preserve">Test Item</t>
  </si>
  <si>
    <t xml:space="preserve">Pre - Condition</t>
  </si>
  <si>
    <t xml:space="preserve">Step</t>
  </si>
  <si>
    <t xml:space="preserve">Expected Output</t>
  </si>
  <si>
    <t xml:space="preserve">Priority</t>
  </si>
  <si>
    <t xml:space="preserve">Result</t>
  </si>
  <si>
    <t xml:space="preserve">Bug ID</t>
  </si>
  <si>
    <t xml:space="preserve">Tester</t>
  </si>
  <si>
    <t xml:space="preserve">Test Date</t>
  </si>
  <si>
    <t xml:space="preserve">Note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</si>
</sst>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B4C6E7"/>
        <bgColor rgb="FFB8CCE4"/>
      </patternFill>
    </fill>
    <fill>
      <patternFill patternType="solid">
        <fgColor rgb="FF5BC95E"/>
        <bgColor rgb="FF339966"/>
      </patternFill>
    </fill>
    <fill>
      <patternFill patternType="solid">
        <fgColor rgb="FFF7CAAC"/>
        <bgColor rgb="FFFBD4B4"/>
      </patternFill>
    </fill>
    <fill>
      <patternFill patternType="solid">
        <fgColor rgb="FFD8D8D8"/>
        <bgColor rgb="FFB8CCE4"/>
      </patternFill>
    </fill>
    <fill>
      <patternFill patternType="solid">
        <fgColor rgb="FFC2D69B"/>
        <bgColor rgb="FFBFBFBF"/>
      </patternFill>
    </fill>
    <fill>
      <patternFill patternType="solid">
        <fgColor rgb="FFFBD4B4"/>
        <bgColor rgb="FFF7CAAC"/>
      </patternFill>
    </fill>
    <fill>
      <patternFill patternType="solid">
        <fgColor rgb="FFB2A1C7"/>
        <bgColor rgb="FF999999"/>
      </patternFill>
    </fill>
    <fill>
      <patternFill patternType="solid">
        <fgColor rgb="FFBFBFBF"/>
        <bgColor rgb="FFB4C6E7"/>
      </patternFill>
    </fill>
    <fill>
      <patternFill patternType="solid">
        <fgColor rgb="FFB8CCE4"/>
        <bgColor rgb="FFB4C6E7"/>
      </patternFill>
    </fill>
    <fill>
      <patternFill patternType="solid">
        <fgColor rgb="FFFFCC66"/>
        <bgColor rgb="FFF7CAA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A1C7"/>
      <rgbColor rgb="FF993366"/>
      <rgbColor rgb="FFFBD4B4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C2D69B"/>
      <rgbColor rgb="FFB4C6E7"/>
      <rgbColor rgb="FFFF99CC"/>
      <rgbColor rgb="FFCC99FF"/>
      <rgbColor rgb="FFF7CAAC"/>
      <rgbColor rgb="FF3366FF"/>
      <rgbColor rgb="FF5BC95E"/>
      <rgbColor rgb="FF99CC00"/>
      <rgbColor rgb="FFFFCC66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25"/>
    <col collapsed="false" customWidth="true" hidden="false" outlineLevel="0" max="12" min="12" style="0" width="10"/>
    <col collapsed="false" customWidth="true" hidden="false" outlineLevel="0" max="14" min="13" style="0" width="12"/>
    <col collapsed="false" customWidth="true" hidden="false" outlineLevel="0" max="15" min="15" style="0" width="13"/>
    <col collapsed="false" customWidth="true" hidden="false" outlineLevel="0" max="16" min="16" style="0" width="25"/>
    <col collapsed="false" customWidth="true" hidden="false" outlineLevel="0" max="17" min="17" style="0" width="10"/>
    <col collapsed="false" customWidth="true" hidden="false" outlineLevel="0" max="19" min="18" style="0" width="12"/>
    <col collapsed="false" customWidth="true" hidden="false" outlineLevel="0" max="20" min="20" style="0" width="13"/>
    <col collapsed="false" customWidth="true" hidden="false" outlineLevel="0" max="21" min="21" style="0" width="25"/>
  </cols>
  <sheetData>
    <row r="1" customFormat="false" ht="19.5" hidden="false" customHeight="true" outlineLevel="0" collapsed="false"/>
    <row r="2" customFormat="false" ht="21.75" hidden="false" customHeight="true" outlineLevel="0" collapsed="false">
      <c r="A2" s="1" t="s">
        <v>0</v>
      </c>
      <c r="B2" s="2" t="s">
        <v>1</v>
      </c>
      <c r="G2" s="3" t="s">
        <v>2</v>
      </c>
      <c r="H2" s="3"/>
      <c r="I2" s="3"/>
      <c r="J2" s="3"/>
      <c r="K2" s="3"/>
      <c r="L2" s="4" t="s">
        <v>3</v>
      </c>
      <c r="M2" s="4"/>
      <c r="N2" s="4"/>
      <c r="O2" s="4"/>
      <c r="P2" s="4"/>
      <c r="Q2" s="5" t="s">
        <v>4</v>
      </c>
      <c r="R2" s="5"/>
      <c r="S2" s="5"/>
      <c r="T2" s="5"/>
      <c r="U2" s="5"/>
    </row>
    <row r="3" customFormat="false" ht="21" hidden="false" customHeight="true" outlineLevel="0" collapsed="false">
      <c r="A3" s="6" t="s">
        <v>5</v>
      </c>
      <c r="B3" s="2" t="n">
        <f aca="false">COUNTIF(E8:E1865,"&lt;&gt;")</f>
        <v>0</v>
      </c>
      <c r="C3" s="1" t="s">
        <v>6</v>
      </c>
      <c r="D3" s="7" t="n">
        <f aca="false">IFERROR(B3/B4,0)</f>
        <v>0</v>
      </c>
      <c r="G3" s="8" t="s">
        <v>7</v>
      </c>
      <c r="H3" s="9" t="s">
        <v>8</v>
      </c>
      <c r="I3" s="10" t="s">
        <v>9</v>
      </c>
      <c r="J3" s="11" t="s">
        <v>10</v>
      </c>
      <c r="K3" s="12" t="s">
        <v>11</v>
      </c>
      <c r="L3" s="8" t="s">
        <v>7</v>
      </c>
      <c r="M3" s="9" t="s">
        <v>8</v>
      </c>
      <c r="N3" s="10" t="s">
        <v>9</v>
      </c>
      <c r="O3" s="11" t="s">
        <v>10</v>
      </c>
      <c r="P3" s="12" t="s">
        <v>11</v>
      </c>
      <c r="Q3" s="8" t="s">
        <v>7</v>
      </c>
      <c r="R3" s="9" t="s">
        <v>8</v>
      </c>
      <c r="S3" s="10" t="s">
        <v>9</v>
      </c>
      <c r="T3" s="11" t="s">
        <v>10</v>
      </c>
      <c r="U3" s="12" t="s">
        <v>11</v>
      </c>
    </row>
    <row r="4" customFormat="false" ht="33.75" hidden="false" customHeight="true" outlineLevel="0" collapsed="false">
      <c r="A4" s="6" t="s">
        <v>12</v>
      </c>
      <c r="B4" s="2" t="n">
        <f aca="false">K4+P4</f>
        <v>0</v>
      </c>
      <c r="C4" s="1" t="s">
        <v>13</v>
      </c>
      <c r="D4" s="2"/>
      <c r="G4" s="13" t="n">
        <f aca="false">COUNTIFS($G$6:$G$1406,"Pass")</f>
        <v>0</v>
      </c>
      <c r="H4" s="13" t="n">
        <f aca="false">COUNTIFS($G$6:$G$1406,"Fail")</f>
        <v>0</v>
      </c>
      <c r="I4" s="13" t="n">
        <f aca="false">COUNTIFS($G$6:$G$1406,"Impact")</f>
        <v>0</v>
      </c>
      <c r="J4" s="13" t="n">
        <f aca="false">COUNTIFS($G$6:$G$1406,"Not Run")</f>
        <v>0</v>
      </c>
      <c r="K4" s="13" t="n">
        <f aca="false">SUM(G4:J4)</f>
        <v>0</v>
      </c>
      <c r="L4" s="13" t="n">
        <f aca="false">COUNTIFS($L$6:$L$1406,"Pass")</f>
        <v>0</v>
      </c>
      <c r="M4" s="13" t="n">
        <f aca="false">COUNTIFS($L$6:$L$1406,"Fail")</f>
        <v>0</v>
      </c>
      <c r="N4" s="13" t="n">
        <f aca="false">COUNTIFS($L$6:$L$1406,"Impact")</f>
        <v>0</v>
      </c>
      <c r="O4" s="13" t="n">
        <f aca="false">COUNTIFS($L$6:$L$1406,"Not Run")</f>
        <v>0</v>
      </c>
      <c r="P4" s="13" t="n">
        <f aca="false">SUM(L4:O4)</f>
        <v>0</v>
      </c>
      <c r="Q4" s="13" t="n">
        <f aca="false">COUNTIFS($Q$6:$Q$1406,"Pass")</f>
        <v>0</v>
      </c>
      <c r="R4" s="13" t="n">
        <f aca="false">COUNTIFS($Q$6:$Q$1406,"Fail")</f>
        <v>0</v>
      </c>
      <c r="S4" s="13" t="n">
        <f aca="false">COUNTIFS($Q$6:$Q$1406,"Impact")</f>
        <v>0</v>
      </c>
      <c r="T4" s="13" t="n">
        <f aca="false">COUNTIFS($Q$6:$Q$1406,"Not Run")</f>
        <v>0</v>
      </c>
      <c r="U4" s="13" t="n">
        <f aca="false">SUM(Q4:T4)</f>
        <v>0</v>
      </c>
    </row>
    <row r="5" customFormat="false" ht="15.75" hidden="false" customHeight="true" outlineLevel="0" collapsed="false"/>
    <row r="6" customFormat="false" ht="21.75" hidden="false" customHeight="true" outlineLevel="0" collapsed="false">
      <c r="A6" s="14" t="s">
        <v>14</v>
      </c>
      <c r="B6" s="14" t="s">
        <v>15</v>
      </c>
      <c r="C6" s="14" t="s">
        <v>16</v>
      </c>
      <c r="D6" s="14" t="s">
        <v>17</v>
      </c>
      <c r="E6" s="14" t="s">
        <v>18</v>
      </c>
      <c r="F6" s="14" t="s">
        <v>19</v>
      </c>
      <c r="G6" s="15" t="s">
        <v>2</v>
      </c>
      <c r="H6" s="15"/>
      <c r="I6" s="15"/>
      <c r="J6" s="15"/>
      <c r="K6" s="15"/>
      <c r="L6" s="16" t="s">
        <v>3</v>
      </c>
      <c r="M6" s="16"/>
      <c r="N6" s="16"/>
      <c r="O6" s="16"/>
      <c r="P6" s="16"/>
      <c r="Q6" s="17" t="s">
        <v>4</v>
      </c>
      <c r="R6" s="17"/>
      <c r="S6" s="17"/>
      <c r="T6" s="17"/>
      <c r="U6" s="17"/>
    </row>
    <row r="7" customFormat="false" ht="21.75" hidden="false" customHeight="true" outlineLevel="0" collapsed="false">
      <c r="A7" s="14"/>
      <c r="B7" s="14"/>
      <c r="C7" s="14"/>
      <c r="D7" s="14"/>
      <c r="E7" s="14"/>
      <c r="F7" s="14"/>
      <c r="G7" s="18" t="s">
        <v>20</v>
      </c>
      <c r="H7" s="18" t="s">
        <v>21</v>
      </c>
      <c r="I7" s="18" t="s">
        <v>22</v>
      </c>
      <c r="J7" s="18" t="s">
        <v>23</v>
      </c>
      <c r="K7" s="18" t="s">
        <v>24</v>
      </c>
      <c r="L7" s="19" t="s">
        <v>20</v>
      </c>
      <c r="M7" s="19" t="s">
        <v>21</v>
      </c>
      <c r="N7" s="19" t="s">
        <v>22</v>
      </c>
      <c r="O7" s="19" t="s">
        <v>23</v>
      </c>
      <c r="P7" s="19" t="s">
        <v>24</v>
      </c>
      <c r="Q7" s="20" t="s">
        <v>20</v>
      </c>
      <c r="R7" s="20" t="s">
        <v>21</v>
      </c>
      <c r="S7" s="20" t="s">
        <v>22</v>
      </c>
      <c r="T7" s="20" t="s">
        <v>23</v>
      </c>
      <c r="U7" s="20" t="s">
        <v>24</v>
      </c>
    </row>
  </sheetData>
  <mergeCells count="12">
    <mergeCell ref="G2:K2"/>
    <mergeCell ref="L2:P2"/>
    <mergeCell ref="Q2:U2"/>
    <mergeCell ref="A6:A7"/>
    <mergeCell ref="B6:B7"/>
    <mergeCell ref="C6:C7"/>
    <mergeCell ref="D6:D7"/>
    <mergeCell ref="E6:E7"/>
    <mergeCell ref="F6:F7"/>
    <mergeCell ref="G6:K6"/>
    <mergeCell ref="L6:P6"/>
    <mergeCell ref="Q6:U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2026-05-09T16:05:43Z</dcterms:created>
  <dc:creator>openpyxl</dc:creator>
  <dc:description/>
  <dc:language>en-US</dc:language>
  <cp:lastModifiedBy/>
  <dcterms:modified xsi:type="dcterms:W3CDTF">2026-05-09T16:05:43Z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